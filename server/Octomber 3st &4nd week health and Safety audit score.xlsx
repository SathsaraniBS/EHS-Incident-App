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tabRatio="500" firstSheet="13" activeTab="18"/>
  </bookViews>
  <sheets>
    <sheet name="Dashboard" sheetId="2" r:id="rId1"/>
    <sheet name="Rating System" sheetId="1" r:id="rId2"/>
    <sheet name="General Maintenance" sheetId="3" r:id="rId3"/>
    <sheet name="Admin" sheetId="4" r:id="rId4"/>
    <sheet name="RM Stores" sheetId="5" r:id="rId5"/>
    <sheet name="FG" sheetId="6" r:id="rId6"/>
    <sheet name="Accessories" sheetId="7" r:id="rId7"/>
    <sheet name="Cutting" sheetId="8" r:id="rId8"/>
    <sheet name="Ground floor modules &amp; Molding" sheetId="9" r:id="rId9"/>
    <sheet name="Packing " sheetId="10" r:id="rId10"/>
    <sheet name="Audit room &amp; Final Inspection" sheetId="11" r:id="rId11"/>
    <sheet name="Lab &amp; CPI" sheetId="12" r:id="rId12"/>
    <sheet name="Screen Printing &amp; Modules" sheetId="13" r:id="rId13"/>
    <sheet name="Sample Room" sheetId="14" r:id="rId14"/>
    <sheet name="Coating" sheetId="15" r:id="rId15"/>
    <sheet name="Forte " sheetId="16" r:id="rId16"/>
    <sheet name="IE" sheetId="17" r:id="rId17"/>
    <sheet name="Training School" sheetId="18" r:id="rId18"/>
    <sheet name="Medical Centre" sheetId="19" r:id="rId19"/>
  </sheets>
  <definedNames>
    <definedName name="_xlnm._FilterDatabase" localSheetId="2" hidden="1">'General Maintenance'!$B$4:$I$106</definedName>
    <definedName name="_xlnm._FilterDatabase" localSheetId="3" hidden="1">Admin!$B$4:$I$96</definedName>
    <definedName name="_xlnm._FilterDatabase" localSheetId="4" hidden="1">'RM Stores'!$B$5:$H$84</definedName>
    <definedName name="_xlnm._FilterDatabase" localSheetId="5" hidden="1">FG!$B$5:$H$77</definedName>
    <definedName name="_xlnm._FilterDatabase" localSheetId="6" hidden="1">Accessories!$A$5:$H$103</definedName>
    <definedName name="_xlnm._FilterDatabase" localSheetId="7" hidden="1">Cutting!$A$5:$H$101</definedName>
    <definedName name="_xlnm._FilterDatabase" localSheetId="8" hidden="1">'Ground floor modules &amp; Molding'!$A$5:$I$106</definedName>
    <definedName name="_xlnm._FilterDatabase" localSheetId="9" hidden="1">'Packing '!$A$5:$I$109</definedName>
    <definedName name="_xlnm._FilterDatabase" localSheetId="10" hidden="1">'Audit room &amp; Final Inspection'!$A$5:$I$103</definedName>
    <definedName name="_xlnm._FilterDatabase" localSheetId="11" hidden="1">'Lab &amp; CPI'!$A$5:$I$104</definedName>
    <definedName name="_xlnm._FilterDatabase" localSheetId="12" hidden="1">'Screen Printing &amp; Modules'!$A$5:$I$102</definedName>
    <definedName name="_xlnm._FilterDatabase" localSheetId="13" hidden="1">'Sample Room'!$A$5:$H$104</definedName>
    <definedName name="_xlnm._FilterDatabase" localSheetId="14" hidden="1">Coating!$A$5:$H$101</definedName>
    <definedName name="_xlnm._FilterDatabase" localSheetId="15" hidden="1">'Forte '!$A$5:$I$94</definedName>
    <definedName name="_xlnm._FilterDatabase" localSheetId="16" hidden="1">IE!$A$5:$H$65</definedName>
    <definedName name="_xlnm._FilterDatabase" localSheetId="17" hidden="1">'Training School'!$A$5:$I$102</definedName>
    <definedName name="_xlnm._FilterDatabase" localSheetId="18" hidden="1">'Medical Centre'!$A$5:$F$84</definedName>
    <definedName name="_xlnm.Print_Area" localSheetId="7">Cutting!$J$4:$O$36</definedName>
    <definedName name="_xlnm.Print_Area" localSheetId="18">'Medical Centre'!$B$2:$H$16</definedName>
  </definedNames>
  <calcPr calcId="144525"/>
</workbook>
</file>

<file path=xl/sharedStrings.xml><?xml version="1.0" encoding="utf-8"?>
<sst xmlns="http://schemas.openxmlformats.org/spreadsheetml/2006/main" count="3109" uniqueCount="479">
  <si>
    <t>HEALTH, SAFETY &amp; ENVIRONMENT — SCORE CARD DASHBOARD</t>
  </si>
  <si>
    <t xml:space="preserve">Period: 1st &amp; 2nd Week, September 2026   </t>
  </si>
  <si>
    <t>No</t>
  </si>
  <si>
    <t>Section</t>
  </si>
  <si>
    <t>Responsible</t>
  </si>
  <si>
    <t>Allocated
Score</t>
  </si>
  <si>
    <t>Actual
Score</t>
  </si>
  <si>
    <t>Adjustable
Score</t>
  </si>
  <si>
    <t xml:space="preserve">Actual
Score </t>
  </si>
  <si>
    <t>General Maintenance</t>
  </si>
  <si>
    <t>Ruwandika</t>
  </si>
  <si>
    <t>Admin</t>
  </si>
  <si>
    <t>Dalton</t>
  </si>
  <si>
    <t>RM Stores</t>
  </si>
  <si>
    <t>Chandrasiri</t>
  </si>
  <si>
    <t>FG</t>
  </si>
  <si>
    <t>Accessories</t>
  </si>
  <si>
    <t>Sampath</t>
  </si>
  <si>
    <t>Cutting</t>
  </si>
  <si>
    <t>Chamila</t>
  </si>
  <si>
    <t>Ground floor modules &amp; Molding</t>
  </si>
  <si>
    <t>Gamini</t>
  </si>
  <si>
    <t>Packing</t>
  </si>
  <si>
    <t>Audit room &amp; Final Inspection</t>
  </si>
  <si>
    <t>Lalinda</t>
  </si>
  <si>
    <t>Lab &amp; CPI</t>
  </si>
  <si>
    <t>Chandani</t>
  </si>
  <si>
    <t>Screen Printing &amp; Modules</t>
  </si>
  <si>
    <t>Sample Room</t>
  </si>
  <si>
    <t>Samitha</t>
  </si>
  <si>
    <t>Coating</t>
  </si>
  <si>
    <t>Forte</t>
  </si>
  <si>
    <t>Cooray</t>
  </si>
  <si>
    <t>IE</t>
  </si>
  <si>
    <t>Dilan</t>
  </si>
  <si>
    <t>Training School</t>
  </si>
  <si>
    <t>Medical Centre</t>
  </si>
  <si>
    <t>Nadee</t>
  </si>
  <si>
    <t>TOTAL</t>
  </si>
  <si>
    <t>HCE Score %</t>
  </si>
  <si>
    <t xml:space="preserve"> </t>
  </si>
  <si>
    <t>HEALTH, SAFETY &amp; ENVIRONMENT SCORING SYSTEM</t>
  </si>
  <si>
    <t>CAT 06 (20 marks)</t>
  </si>
  <si>
    <t xml:space="preserve">CAT 05 (15 marks) </t>
  </si>
  <si>
    <t>CAT  04 (10 marks)</t>
  </si>
  <si>
    <t>CAT 03 (05 marks)</t>
  </si>
  <si>
    <t>Failing from height</t>
  </si>
  <si>
    <t>Material falling from a height &amp; falling from height and caused severe injury</t>
  </si>
  <si>
    <t>Structural Safety</t>
  </si>
  <si>
    <t>Structurally unsafe constructions &amp; severe cracks not investigated</t>
  </si>
  <si>
    <t>Floor or roof openings which are not guarded.</t>
  </si>
  <si>
    <t>Sanitation facilities</t>
  </si>
  <si>
    <t>Unreasonable restrictions to toilets &amp; drinking water</t>
  </si>
  <si>
    <t>Clean and consumable drinking water not available and not identified</t>
  </si>
  <si>
    <t>No doors on toilets to give privacy</t>
  </si>
  <si>
    <t>Extremely poor hygiene, posing a risk to health.</t>
  </si>
  <si>
    <t>No flushing or washing water/soap</t>
  </si>
  <si>
    <t>Insufficient number of toilets in ratio</t>
  </si>
  <si>
    <t>Inadequate level of cleanliness in washrooms</t>
  </si>
  <si>
    <t>No hand drying facilities.</t>
  </si>
  <si>
    <t>Food Safety</t>
  </si>
  <si>
    <t>Extremely poor hygiene in food storage / service / preparation areas, posing a risk to health.</t>
  </si>
  <si>
    <t>Inadequate hygiene in food storage and preparation areas.</t>
  </si>
  <si>
    <t>Appropriate health and safety certifications and qualifications for food handlers</t>
  </si>
  <si>
    <t>Poor hygiene of food handlers.</t>
  </si>
  <si>
    <t>Work Environment</t>
  </si>
  <si>
    <t>No protection from extreme temperatures</t>
  </si>
  <si>
    <t>Protection from extreme temperatures is inadequate.</t>
  </si>
  <si>
    <t>Severe lack of ventilation or adequate lighting</t>
  </si>
  <si>
    <t>Inadequate lighting and/or ventilation.</t>
  </si>
  <si>
    <t>Waste Disposal</t>
  </si>
  <si>
    <t>Severe AND/OR deliberate environmental pollution including; direct discharge of contaminated industrial wastewater into 
inland water receiver</t>
  </si>
  <si>
    <t>Hazardous wastes inadequately labelled or disposed of.</t>
  </si>
  <si>
    <t>No waste disposal records</t>
  </si>
  <si>
    <t>Hazardous wastes not stored in designated or secure areas.</t>
  </si>
  <si>
    <t>Waste water discharge and emissions not monitored in line with regulatory requirements.</t>
  </si>
  <si>
    <t>No maintenance programmes or operating procedures developed or implemented for in-house waste water treatment facilities.</t>
  </si>
  <si>
    <t>Chemical and drum storage areas not covered to prevent rainwater from coming into contact with chemicals and drums</t>
  </si>
  <si>
    <t>Insufficient/poorly maintained storage facilities for chemicals, oil, diesel, etc. which lead to contamination of land.</t>
  </si>
  <si>
    <t>Insufficient/poorly maintained storage facilities for chemicals, oil, diesel etc. (secondary containment must be 
110% of volume of primary container)</t>
  </si>
  <si>
    <t>Bins should be provided for the disposal of sanitary and medical waste.</t>
  </si>
  <si>
    <t>Hazardous waste containers in poor condition.</t>
  </si>
  <si>
    <t>Hazardous waste not stored properly in a dedicated area for disposal.</t>
  </si>
  <si>
    <t>Fire Safety</t>
  </si>
  <si>
    <t>No Fire fighting equipment on site.</t>
  </si>
  <si>
    <t>No fire alarm system</t>
  </si>
  <si>
    <t>Locked fire exits.</t>
  </si>
  <si>
    <t>No emergency lighting</t>
  </si>
  <si>
    <t>Emergency lighting inadequate</t>
  </si>
  <si>
    <t>Fire alarm cannot be heard in all areas.</t>
  </si>
  <si>
    <t>Flammable materials and combustible solid/liquid materials stored in stairwells/under stairs/doorways.</t>
  </si>
  <si>
    <t>Insufficient number of exits.</t>
  </si>
  <si>
    <t>Access to fire detection system/ fire protection equipment/fire alarms is blocked.</t>
  </si>
  <si>
    <t>Fire protection equipment is not maintained</t>
  </si>
  <si>
    <t>Fire exits not adequately signed.</t>
  </si>
  <si>
    <t>Blocked aisles or exits, obstructing exit/s.</t>
  </si>
  <si>
    <t>Inadequate number of fire extinguishers</t>
  </si>
  <si>
    <t>Exit doors are not designed to open outwards.</t>
  </si>
  <si>
    <t>No visual inspection or maintenance records of fire equipment including: Fire alarm/  fire equipment including:Extinguishers / hoses / hydrants / sprinklers/ Emergency lighting/ Smoke / heat detectors</t>
  </si>
  <si>
    <t>No back-up power supply for fire alarm system.</t>
  </si>
  <si>
    <t>Isolated instances of blocked aisles or exits, obstructing exit(s)</t>
  </si>
  <si>
    <t>Exits, stairs or aisles are less than one metre (40 inches)</t>
  </si>
  <si>
    <t>No assembly point</t>
  </si>
  <si>
    <t>No fire exit signs</t>
  </si>
  <si>
    <t>Exits should be fixed with self-closing devices</t>
  </si>
  <si>
    <t>No handrails on stairs.</t>
  </si>
  <si>
    <t>Fire safety sign boards displayed in each areas</t>
  </si>
  <si>
    <t>Emergency lighting not working</t>
  </si>
  <si>
    <t>First Aid Facilities</t>
  </si>
  <si>
    <t>First aid kits available but, a charge is levied for first aid supplies.</t>
  </si>
  <si>
    <t>No first aid kits available</t>
  </si>
  <si>
    <t>First Aid box is not signed 
clearly or appropriately</t>
  </si>
  <si>
    <t>Obstructed/restricted access to the first aid boxes</t>
  </si>
  <si>
    <t>Inadequate numbers of first 
aid boxes.</t>
  </si>
  <si>
    <t>Accidents are not reported</t>
  </si>
  <si>
    <t>Accident reporting does not 
include ‘preventive’ action.</t>
  </si>
  <si>
    <t>Respiratory or hearing 
examinations are not carried out 
for workers using respiratory 
equipment or who are exposed 
to excessive noise</t>
  </si>
  <si>
    <t>First aid supplies are out of date.</t>
  </si>
  <si>
    <t xml:space="preserve">Other medical examinations not 
carried out where required by 
law </t>
  </si>
  <si>
    <t>First aid boxes not adequately 
stocked or replenished</t>
  </si>
  <si>
    <t>Chemical Safety</t>
  </si>
  <si>
    <t>Improper handling and storage of large quantities of hazardous chemicals including, exposure and handling of highly toxic, highly flammable and 
carcinogenic chemicals.</t>
  </si>
  <si>
    <t>Extremely poor delivery, storage, labelling, handling, transportation or disposal of hazardous chemicals/substances.</t>
  </si>
  <si>
    <t>No OR major lack of PPE provided for 
employees exposed to hazardous 
chemicals/substances</t>
  </si>
  <si>
    <t>Isolated instances of MSDS not 
available.</t>
  </si>
  <si>
    <t xml:space="preserve">Storage of hazardous materials in accommodation premises or canteens. 
</t>
  </si>
  <si>
    <t>Extremely poor ventilation in area/s of storage or usage of hazardous chemicals/substances.</t>
  </si>
  <si>
    <t>No systems for safe disposal of 
hazardous chemicals / substances.</t>
  </si>
  <si>
    <t>Isolated instances of no PPE 
available.</t>
  </si>
  <si>
    <t xml:space="preserve">Sandblasting and shot blasting is carried out at the facilities </t>
  </si>
  <si>
    <t>Chemicals stored without labelling (Name/ Expiry date/Warning signs)</t>
  </si>
  <si>
    <t>MSDS not available and not clearly 
communicated i.e. displayed in local 
language.</t>
  </si>
  <si>
    <t>Isolated instances of chemicals 
not labelled with names and 
warning signs</t>
  </si>
  <si>
    <t>No spill kits or absorbents in chemical 
storage areas and in relevant 
production areas.</t>
  </si>
  <si>
    <t>No documented spillage 
procedure</t>
  </si>
  <si>
    <t>No washing facilities in chemical 
storage or usage area/s, and next to 
any battery charging stations, such as 
eye wash or dousing showers</t>
  </si>
  <si>
    <t>No Chemical Inventory 
available</t>
  </si>
  <si>
    <t>Lack of ventilation in area/s of storage or 
usage of hazardous chemicals/substances</t>
  </si>
  <si>
    <t>Lids not kept on chemical 
containers when not in use</t>
  </si>
  <si>
    <t>Hazardous warning signage not 
displayed in relevant areas (e.g. 
flammable, explosive or toxic chemicals 
etc.).</t>
  </si>
  <si>
    <t>Chemical containers in poor 
condition.</t>
  </si>
  <si>
    <t xml:space="preserve">Storage areas not clearly defined and 
segregated for different types of 
chemicals </t>
  </si>
  <si>
    <t>Equipment/Machinery Safety</t>
  </si>
  <si>
    <t>Lack of guarding on heavy machines (Eg: Blades &amp; moving parts)</t>
  </si>
  <si>
    <t>Locking devices removed or not functional for goods and passenger lifts</t>
  </si>
  <si>
    <t>Emergency stop buttons and operation buttons ineffective.</t>
  </si>
  <si>
    <t>Lack of guarding on lighter 
machinery i.e. sewing/linking 
machines</t>
  </si>
  <si>
    <t>Employees are not using machine guards while working</t>
  </si>
  <si>
    <t>Equipment is not suitable for use, not 
maintained in an efficient state, in 
poor working order and in poor repair.</t>
  </si>
  <si>
    <t>Isolated instances of missing 
guarding OR guarding not properly 
used.</t>
  </si>
  <si>
    <t>Unsafe equipment (including lights and 
switches) used in storage areas with 
flammable materials.</t>
  </si>
  <si>
    <t>Emergency stop buttons not clearly 
labelled.</t>
  </si>
  <si>
    <t>Welding cylinders not equipped with 
flame arrestors or check valves.</t>
  </si>
  <si>
    <t>No daily check sheets for forklift 
trucks.</t>
  </si>
  <si>
    <t xml:space="preserve">Maintenance records are not in place 
or not up-to-date </t>
  </si>
  <si>
    <t>Drains of machines not connected 
to the drainage canals.</t>
  </si>
  <si>
    <t>No permit to work programme for hot 
work, electricity work, pipe work, tank 
entry, fire protection equipment 
impairment , grinding operations and 
welding</t>
  </si>
  <si>
    <t>No OR major lack of PPE provided for 
employees who operate welding 
equipment.</t>
  </si>
  <si>
    <t>Portable heating appliances not 
positioned safely</t>
  </si>
  <si>
    <t>Local exhaust ventilation systems not 
properly maintained and cleaned</t>
  </si>
  <si>
    <t>Goods lift being used used in breach of 
relevant permits</t>
  </si>
  <si>
    <t>Electrical carpets are used by the workers while working with a electrical appliances</t>
  </si>
  <si>
    <t>Machine operating procedures are communicated to each machine operator</t>
  </si>
  <si>
    <t>Electrical Safety</t>
  </si>
  <si>
    <t>High risk from exposed high voltage live cables</t>
  </si>
  <si>
    <t>Portable electrical equipment not securely fixed with a socket.</t>
  </si>
  <si>
    <t>No proof of OR unable to verify 
in house electrician’s qualifications.</t>
  </si>
  <si>
    <t>Portable electrical equipment not tested and checked by qualified personnel within the 
last 24 months.</t>
  </si>
  <si>
    <t>Live wires are exposed.</t>
  </si>
  <si>
    <t>Non-waterproof electrical  appliances and supply used outdoors and in wet areas.</t>
  </si>
  <si>
    <t>Flexible cords and cables free of frayed wiring or deteriorated insulation and not going through the pathways</t>
  </si>
  <si>
    <t>Portable electrical equipment not 
grounded.</t>
  </si>
  <si>
    <t>Electrical systems not adequately 
maintained.</t>
  </si>
  <si>
    <t>Electricity mains supply: 
Obstructed
No warning signs
Poorly maintained
Not guarded from 
unauthorised access</t>
  </si>
  <si>
    <t>Electrical panel boards/bus bars should be made from non-flammable material.</t>
  </si>
  <si>
    <t>Electrical Installations are not periodically checked and documented.</t>
  </si>
  <si>
    <t>Manual Handling</t>
  </si>
  <si>
    <t>Employees carrying out manual handling tasks beyond their personal abilities including - Lifting, carrying, pushing or 
pulling</t>
  </si>
  <si>
    <t>No manual handling training carried out or documented</t>
  </si>
  <si>
    <t>Lack of appropriate equipment for safe handling of loads which constitute a serious risk.</t>
  </si>
  <si>
    <t>No job rotation in place.</t>
  </si>
  <si>
    <t>PPEs</t>
  </si>
  <si>
    <t>No OR extremely insufficient PPE provided to workers in usage of hazardous 
chemicals/substances</t>
  </si>
  <si>
    <t>Unsuitable/inadequate Personal 
Protective Equipment (PPE) provided to workers</t>
  </si>
  <si>
    <t>PPE not kept clean, not well maintained or not correctly used.</t>
  </si>
  <si>
    <t>No OR extremely insufficient PPE used by the workers in usage of hazardous 
chemicals/substances</t>
  </si>
  <si>
    <t>Unsuitable/inadequate Personal 
Protective Equipment (PPE) used by the  workers</t>
  </si>
  <si>
    <t>Noise control zones not clearly defined</t>
  </si>
  <si>
    <t>PPEs are used by the workers when they are necessary</t>
  </si>
  <si>
    <t>No signage posted where use of PPE is mandatory</t>
  </si>
  <si>
    <t>Environmental Protection Standards</t>
  </si>
  <si>
    <t>Hazardous warning signage not displayed in relevant areas (e.g. high voltage, extreme temperatures, asbestos etc.)</t>
  </si>
  <si>
    <t>No environment assessment conducted or 
documented</t>
  </si>
  <si>
    <t>Engineering  (Factory premises/canteen/panel room/Generator room/Compressor room/construction area/STP/All areas)</t>
  </si>
  <si>
    <t>Description</t>
  </si>
  <si>
    <t>Responsibility</t>
  </si>
  <si>
    <t>Allocated 
Score</t>
  </si>
  <si>
    <t>Accurate Score</t>
  </si>
  <si>
    <t>Adjustable score</t>
  </si>
  <si>
    <t>Remark</t>
  </si>
  <si>
    <t>Emergency Response</t>
  </si>
  <si>
    <t>Factory Engineer</t>
  </si>
  <si>
    <t>Factory Manager</t>
  </si>
  <si>
    <t xml:space="preserve">Executive Compliance </t>
  </si>
  <si>
    <t xml:space="preserve">Assistant Compliance </t>
  </si>
  <si>
    <t>R</t>
  </si>
  <si>
    <t xml:space="preserve">Canteen </t>
  </si>
  <si>
    <t>Table,chairs, Tap and electric equipment, fences not broken ( Boiler, Fan, Light, Emergency light)</t>
  </si>
  <si>
    <t>Catering Table broken, Cupboard doors broken, Some fans are not properly working</t>
  </si>
  <si>
    <t>A</t>
  </si>
  <si>
    <t>C</t>
  </si>
  <si>
    <t>I</t>
  </si>
  <si>
    <t>Accountable</t>
  </si>
  <si>
    <t>Washrooms</t>
  </si>
  <si>
    <t>Squatting pans, commodes, wash basins, tilesand doors are in with good condition with no damages</t>
  </si>
  <si>
    <t>Consulted</t>
  </si>
  <si>
    <t>Informed</t>
  </si>
  <si>
    <t>Pump Room</t>
  </si>
  <si>
    <t>Condition monitoring system available for fire pump system including water sump and working in good condition</t>
  </si>
  <si>
    <t>Construction area</t>
  </si>
  <si>
    <t>Contractors use suitable PPE s depending on the nature of work</t>
  </si>
  <si>
    <t>Work permits are available  where outside contractors doing following works - Hot works/ work at height/ excavations</t>
  </si>
  <si>
    <t>Factory Premises</t>
  </si>
  <si>
    <t xml:space="preserve">The Perimeter wall/fence is in good condition around the facility </t>
  </si>
  <si>
    <t xml:space="preserve">Portable Drinking water sources are identified and labeled. </t>
  </si>
  <si>
    <t>Confined spaces are locked and authorized access only</t>
  </si>
  <si>
    <t>STP Area</t>
  </si>
  <si>
    <t>Tiles or floor damages</t>
  </si>
  <si>
    <t xml:space="preserve">Loading Bay area/ Upper floor </t>
  </si>
  <si>
    <t>Exist should be Easy to access</t>
  </si>
  <si>
    <t>Access Control area's Lockable</t>
  </si>
  <si>
    <t>Emergency  Response (All Areas)</t>
  </si>
  <si>
    <t>Emergency lights available &amp; working and sufficient lighting  is available</t>
  </si>
  <si>
    <t>Emergency lights are insufficient in the main aisle of the upper production area</t>
  </si>
  <si>
    <t>Emergency  Response (Guard room/ Canteen/ Waste Yard)</t>
  </si>
  <si>
    <t xml:space="preserve">Fire alarm system and hose reals are accessible ,available &amp; active throughout the area </t>
  </si>
  <si>
    <t>Fire panel board display issue</t>
  </si>
  <si>
    <t xml:space="preserve">A minimum of 2 exits for each room where more than 05 occupants working </t>
  </si>
  <si>
    <t>HR</t>
  </si>
  <si>
    <t>Exist should be outwards at each room &amp; floor &amp; fixed with self-closing devices</t>
  </si>
  <si>
    <t>Audit rooms and production office</t>
  </si>
  <si>
    <t xml:space="preserve">Manual call points are installed on all escape routes, particularly at all stairway entrances and exits to open air </t>
  </si>
  <si>
    <t xml:space="preserve">Manual call points Installed on all escape routes and in particular all stairwell entrances and all exits to open air. </t>
  </si>
  <si>
    <t>Smoke detectors/beam detectors/Fire call points &amp; Fire fighting equipment not obstructed</t>
  </si>
  <si>
    <t>smoke generate in Piping Area, therefore that area 2 smoke detectors were closed by employees</t>
  </si>
  <si>
    <t xml:space="preserve">Fire safety sign boards are displayed in each area (fire alarm call points/ fire extinguishers/ Fire siren/ fire hose reel) </t>
  </si>
  <si>
    <t>Canteen area sign board is not arrange properly</t>
  </si>
  <si>
    <t>Emergency exits pathways are not obstructed</t>
  </si>
  <si>
    <t xml:space="preserve">Upper Floor Production area emergency pathways blocked by AC unit, </t>
  </si>
  <si>
    <t>Width of each pathway or gangway is greater than 2.5ft (30 inches)</t>
  </si>
  <si>
    <t>Production area pathways, Macpi area</t>
  </si>
  <si>
    <t xml:space="preserve">Fire attendance registers are marked daily </t>
  </si>
  <si>
    <t>Electrical Safety (all areas)</t>
  </si>
  <si>
    <t xml:space="preserve">Electrical equipment (i.e. electrical panels, fuse/breaker boxes) are accessible and free of obstructions  </t>
  </si>
  <si>
    <t>Rubber Carpets are provided beneath the Electrical Panels</t>
  </si>
  <si>
    <t xml:space="preserve">Electrical enclosures (i.e. switches, receptacles, junction boxes, etc.) are provided with tight fitting covers or plates and updated check list </t>
  </si>
  <si>
    <t xml:space="preserve">Energy pools are not providing some areas, Exposed wires on pathways,  CPI area </t>
  </si>
  <si>
    <t>Machine Safety</t>
  </si>
  <si>
    <t>Moving parts of exhaust fans, blowers etc. have been covered adequately</t>
  </si>
  <si>
    <t>Veit room</t>
  </si>
  <si>
    <t xml:space="preserve">PPEs are used by all employees when they are necessary </t>
  </si>
  <si>
    <t>Chemical safety</t>
  </si>
  <si>
    <t>Chemical containers are in good condition and stored in separate containers and incompatible chemicals stored separately</t>
  </si>
  <si>
    <t xml:space="preserve">PPEs and Spill kits available near chemical storing and using areas </t>
  </si>
  <si>
    <t>Eye wash station / shower available &amp; working in good condition, Fresh &amp; isolated  water supply is available for eye wash stations with adequate flow rate &amp; pressure</t>
  </si>
  <si>
    <t>Others</t>
  </si>
  <si>
    <t>Air receivers, pressure vessels, chillers etc. are mounted properly</t>
  </si>
  <si>
    <t>Facility Maintenance</t>
  </si>
  <si>
    <t xml:space="preserve">   500kg Material hoist door not properly closed ,Glare Issue in Cutting Area from Windows</t>
  </si>
  <si>
    <t>Stairs are clear of obstructions and not stored items under exit stairs</t>
  </si>
  <si>
    <t>Total</t>
  </si>
  <si>
    <t>%</t>
  </si>
  <si>
    <t>Electrical panel checklist</t>
  </si>
  <si>
    <t>Admin (Factory premises/ Guard room/canteen/waste yard/panel room/Generator room/Compressor room/construction area/STP/All areas)</t>
  </si>
  <si>
    <t>Admin Senior Executive</t>
  </si>
  <si>
    <t>Assistant Admin (Waste)</t>
  </si>
  <si>
    <t>Assistant Admin (Guard Room)</t>
  </si>
  <si>
    <t>Executive Compliance</t>
  </si>
  <si>
    <t>Assistant Compliance</t>
  </si>
  <si>
    <t>Separate waste collection bins are provided for collection of waste materials (Foot operated or closed lid)</t>
  </si>
  <si>
    <t>All food handling and processing areas are free of pests/animals and maintaining proper hygiene</t>
  </si>
  <si>
    <t>Every person engaged in food handling are maintained a high degree of personal cleanliness, and wear suitable protective clothing including head covering, gloves, masks and foot wear.</t>
  </si>
  <si>
    <t>Kitchen is designed to prevent cross-contamination (effective means between different operations)</t>
  </si>
  <si>
    <t>Corrective action is not taken as a PHI record direction</t>
  </si>
  <si>
    <t xml:space="preserve">Covered bins available in toilets </t>
  </si>
  <si>
    <t xml:space="preserve">Soaps/ Hand washes are available </t>
  </si>
  <si>
    <t>One hand dispenser in the canteen area is broken</t>
  </si>
  <si>
    <t>Hand drying facilities.</t>
  </si>
  <si>
    <t>Not providing workers wash rooms</t>
  </si>
  <si>
    <t>hand drying facilities.</t>
  </si>
  <si>
    <t xml:space="preserve">Toilets are clean, cleaning charts are available </t>
  </si>
  <si>
    <t>Guard room</t>
  </si>
  <si>
    <t>Contractor Entry register is maintained at the guard room as per the annexure on Contractor ESH Guidelines</t>
  </si>
  <si>
    <t xml:space="preserve">Contractors use equipment &amp; tools with safe condition </t>
  </si>
  <si>
    <t>Exist should be not closed and should be clean</t>
  </si>
  <si>
    <t>Exist should be not closed</t>
  </si>
  <si>
    <t>Waste Yard</t>
  </si>
  <si>
    <t>Hazardous and non-hazardous waste are stored with proper segregation</t>
  </si>
  <si>
    <t>Waste yard filled cannot find proper segregation</t>
  </si>
  <si>
    <t>No water collecting areas to prevent mosquito breeding</t>
  </si>
  <si>
    <t>Emergency Pathways should not be obstruct</t>
  </si>
  <si>
    <t>Emergency Exist doors are not closed</t>
  </si>
  <si>
    <t>Powered motor vehicles (PMV)</t>
  </si>
  <si>
    <t>Emergency contact numbers displayed in transportation vehicles</t>
  </si>
  <si>
    <t>Eye wash station / showers are proper cleaning</t>
  </si>
  <si>
    <t>Other</t>
  </si>
  <si>
    <t>Proper housekeeping are maintained</t>
  </si>
  <si>
    <t>Stores (Loading bay/RM Stores/ Chemical room)</t>
  </si>
  <si>
    <t>Stores (Loading bay/RM Stores/FG/ Chemical room)</t>
  </si>
  <si>
    <t xml:space="preserve">Emergency response </t>
  </si>
  <si>
    <t xml:space="preserve">Executive Stores </t>
  </si>
  <si>
    <t xml:space="preserve">Senior Executive Stores </t>
  </si>
  <si>
    <t>Stores</t>
  </si>
  <si>
    <t>In adhisive room</t>
  </si>
  <si>
    <t xml:space="preserve">Smoke detectors/beam detectors/Fire call points &amp; Fire fighting equipment are not obstructed
</t>
  </si>
  <si>
    <t xml:space="preserve">Fire attendance registers are marked daily in all Departments </t>
  </si>
  <si>
    <t>First Aid</t>
  </si>
  <si>
    <t>First aid box is not obstructed</t>
  </si>
  <si>
    <t>Material hoist handling safely.</t>
  </si>
  <si>
    <t>Material hoist door is not properly closed during the process</t>
  </si>
  <si>
    <t>Personal Protective Equipment (PPEs)</t>
  </si>
  <si>
    <t>PPEs are used by all employees when they are necessary</t>
  </si>
  <si>
    <t>Chemical cans and secondary containers are named &amp;  labels are included name, purchased date, expiry date, GHS sign</t>
  </si>
  <si>
    <t>Current Stock details of Chemicals maintained &amp; all chemicals are included in the chemical inventory</t>
  </si>
  <si>
    <t>Chemical Stock and system detailed mismatched</t>
  </si>
  <si>
    <t>Spill kits are available in the chemical using areas</t>
  </si>
  <si>
    <t>Flammable chemicals are stored separately</t>
  </si>
  <si>
    <t>Sharp Tool Safety</t>
  </si>
  <si>
    <t>Sharp tools are hung &amp; tied properly</t>
  </si>
  <si>
    <t>Tool inventory is maintained properly</t>
  </si>
  <si>
    <t xml:space="preserve">Not Handling loose blades </t>
  </si>
  <si>
    <t xml:space="preserve">Other </t>
  </si>
  <si>
    <t>Cartons are stacked at safe height (6ft) 
(Material falling from a height)</t>
  </si>
  <si>
    <t xml:space="preserve">Safety Ladders are used </t>
  </si>
  <si>
    <t>Loading and unloading area is closed with chain when there is no loading/unloading</t>
  </si>
  <si>
    <t xml:space="preserve">Total </t>
  </si>
  <si>
    <t>Stores (FG)</t>
  </si>
  <si>
    <t>Material hoist door need to repair</t>
  </si>
  <si>
    <t>Not Providing for some of employees, safety shoes</t>
  </si>
  <si>
    <t>Accessories (Binding/Winding/Piping/Macpi/Tape/Diecut/Veit/Strap/Laser)</t>
  </si>
  <si>
    <t>Accessories (Binding/Winding/Piping/Macpi/Tape/Diecut/Veit)</t>
  </si>
  <si>
    <t xml:space="preserve">Executive Accessories </t>
  </si>
  <si>
    <t xml:space="preserve">Manager Accessories </t>
  </si>
  <si>
    <t xml:space="preserve">Smoke detectors/beam detectors/Fire call points &amp; Fire fighting equipment not obstructed
</t>
  </si>
  <si>
    <t xml:space="preserve">First Aid </t>
  </si>
  <si>
    <t>Exposed wirres  are visible - veit</t>
  </si>
  <si>
    <t xml:space="preserve">Machine Safety </t>
  </si>
  <si>
    <t>Machine guards, dual hand operation and other safety process or features are not using while working with a machine</t>
  </si>
  <si>
    <t>Emergency stop button not properly worked, Take time to stop the machine - Piping/Binding area machine</t>
  </si>
  <si>
    <t>Safety carpets are used for both iron workers and the machine workers</t>
  </si>
  <si>
    <t>PPEs are used by all employees when they are necessary (hair nets/metal gloves/goggles etc)</t>
  </si>
  <si>
    <t>Chemical cans and secondary containers are named &amp;  labels are included name &amp; GHS sign</t>
  </si>
  <si>
    <t>Sharp tools are hung &amp; tied properly (trimmers/ sessiors)</t>
  </si>
  <si>
    <t>Safety rulers are used when using OLFA cutters</t>
  </si>
  <si>
    <t>Tape section</t>
  </si>
  <si>
    <t>Not Handling loose blades (excepting tape section)</t>
  </si>
  <si>
    <t>Not using broken irons &amp; proper iron table clothes are used</t>
  </si>
  <si>
    <t>Food  is not permitted in the production area</t>
  </si>
  <si>
    <t>Facilities Maintenance</t>
  </si>
  <si>
    <t>Cracked floor with holes was found in tape Section</t>
  </si>
  <si>
    <t>Found unotherized cloth item</t>
  </si>
  <si>
    <t>Laser</t>
  </si>
  <si>
    <t>Calibrated measuring tape</t>
  </si>
  <si>
    <t>Veit</t>
  </si>
  <si>
    <t>Supervisor Cutting</t>
  </si>
  <si>
    <t>Senior Executive cutting</t>
  </si>
  <si>
    <t xml:space="preserve">Fire alarm system is unobstructed throughout the area </t>
  </si>
  <si>
    <t>Work point of the Band knife operator isolated through a safe railing/ Blades are coverd when not working</t>
  </si>
  <si>
    <t>Machine guards &amp; dual hand operation are not using while working with a machine</t>
  </si>
  <si>
    <t>Safety carpets are provided for both iron workers and the machine workers</t>
  </si>
  <si>
    <t>PPE is stored in a clean cabinet or free of any contamination (Eg: dust)</t>
  </si>
  <si>
    <t>Numbering the scissors</t>
  </si>
  <si>
    <t xml:space="preserve">Not Handling loose blades or Pins </t>
  </si>
  <si>
    <t xml:space="preserve">Food items ara not permit in manufacturing area </t>
  </si>
  <si>
    <t>Cartons are stacked at safe height (6ft)</t>
  </si>
  <si>
    <t>Ground floor Production Modules &amp; Molding</t>
  </si>
  <si>
    <t>Prodcution_Modules</t>
  </si>
  <si>
    <t>Executive Production</t>
  </si>
  <si>
    <t>Manager Production</t>
  </si>
  <si>
    <t>Production</t>
  </si>
  <si>
    <t>By machine layout</t>
  </si>
  <si>
    <t>Machine guards, dual hand operation and other safety features are not using while working with a machine</t>
  </si>
  <si>
    <t>Safety carpets are used  for both iron workers and the machine workers</t>
  </si>
  <si>
    <t>Carpet not provide for all applicable employees/Missused</t>
  </si>
  <si>
    <t xml:space="preserve">Spill kits available near chemical using areas </t>
  </si>
  <si>
    <t xml:space="preserve">  </t>
  </si>
  <si>
    <t>All tools are properly numbered</t>
  </si>
  <si>
    <t>Exposed or hazardous  electrical wires shall not be present</t>
  </si>
  <si>
    <t>Exposed electrical wiring is visible</t>
  </si>
  <si>
    <t>Found unotherized chemical product</t>
  </si>
  <si>
    <t>Packing/ Data Entry Area near the Cutting</t>
  </si>
  <si>
    <t xml:space="preserve"> Space issue raised</t>
  </si>
  <si>
    <t>Not  obstructing the wheelchair</t>
  </si>
  <si>
    <t>Not Handling loose blades &amp; paper cutters</t>
  </si>
  <si>
    <t xml:space="preserve"> Audit rooms &amp; Final Inspection Area</t>
  </si>
  <si>
    <t>Lab</t>
  </si>
  <si>
    <t>Supervisor Lab</t>
  </si>
  <si>
    <t>Assistant Manger QA</t>
  </si>
  <si>
    <t>QA</t>
  </si>
  <si>
    <t>N/A</t>
  </si>
  <si>
    <t>No maintain tool inventory Properly</t>
  </si>
  <si>
    <t>Sounders for exits</t>
  </si>
  <si>
    <t>Wheelchair obstruction</t>
  </si>
  <si>
    <t xml:space="preserve">Lab/Trim Inspection </t>
  </si>
  <si>
    <t>Found an olfa cutter without propre hung</t>
  </si>
  <si>
    <t>Calibrated  all measuring tape</t>
  </si>
  <si>
    <t>Found tape without calibrated (Veit)</t>
  </si>
  <si>
    <t>Screen Printing/ Production Modules</t>
  </si>
  <si>
    <t>Screen Coating</t>
  </si>
  <si>
    <t>By layout and Ac units</t>
  </si>
  <si>
    <t>By layout &amp; machines</t>
  </si>
  <si>
    <t>By machines</t>
  </si>
  <si>
    <t>Carpet not provide for all applicable employees/missed used</t>
  </si>
  <si>
    <t>Chemical handlers</t>
  </si>
  <si>
    <t>Did not used secondory containers</t>
  </si>
  <si>
    <t xml:space="preserve">Spill kits available near chemical using ares </t>
  </si>
  <si>
    <t xml:space="preserve">Chemical mixing are carried out at an isolated locations </t>
  </si>
  <si>
    <t xml:space="preserve">Screen wash/cleaning and other solvent applications carried out at an isolated location </t>
  </si>
  <si>
    <t>Not Providing</t>
  </si>
  <si>
    <t>Genesis _Sample Room</t>
  </si>
  <si>
    <t xml:space="preserve">Planning Executive Sample Room </t>
  </si>
  <si>
    <t xml:space="preserve">General Manager Development </t>
  </si>
  <si>
    <t>Development</t>
  </si>
  <si>
    <t>Not Handling loose blades or Needles</t>
  </si>
  <si>
    <t>Found broken iron</t>
  </si>
  <si>
    <t>Fragile items should not be stored in this area</t>
  </si>
  <si>
    <t>Unauthorized chemicals must not be stored in the area</t>
  </si>
  <si>
    <t>Supervisor Coating</t>
  </si>
  <si>
    <t>Manager Development</t>
  </si>
  <si>
    <t>Safety carpets are used  for both iron workers and the machine workers, standing workers</t>
  </si>
  <si>
    <t>Not provided for applicable employees</t>
  </si>
  <si>
    <t>Screen wash/cleaning and other solvent applications carried out at an isolated location in case of inline printing</t>
  </si>
  <si>
    <t>Not allocated Proper Place</t>
  </si>
  <si>
    <t>Forte_Workshops &amp; CNC area</t>
  </si>
  <si>
    <t>Forte_Workshop</t>
  </si>
  <si>
    <t>Manufacturing Engineer</t>
  </si>
  <si>
    <t>General Manager</t>
  </si>
  <si>
    <t>Machine guards and  dual hand operation are not using while working with a machine</t>
  </si>
  <si>
    <t>*Ignore Large Chemical containers for score (2025/12/05 Meeting Discussion with Sasi and Cooray)</t>
  </si>
  <si>
    <t>IE (Workshop &amp; All areas)</t>
  </si>
  <si>
    <t xml:space="preserve">Manager IE &amp; Maintenance </t>
  </si>
  <si>
    <t xml:space="preserve">Executive Machine Maintenance </t>
  </si>
  <si>
    <t xml:space="preserve">Senior Executive IE </t>
  </si>
  <si>
    <t>Chief Mechanic</t>
  </si>
  <si>
    <t xml:space="preserve"> Executive IE </t>
  </si>
  <si>
    <t>Emergency exits pathways are not obstructed by machines</t>
  </si>
  <si>
    <t>Production area by machine layout</t>
  </si>
  <si>
    <t>Upper floor</t>
  </si>
  <si>
    <t>First aid box is not obstructed and not blocked any first aid box by machines</t>
  </si>
  <si>
    <t xml:space="preserve">Upper floor Area by machine layout </t>
  </si>
  <si>
    <t xml:space="preserve">Electrical equipment (i.e. electrical panels, fuse/breaker boxes) are accessible and free of obstructions </t>
  </si>
  <si>
    <t>Production Area</t>
  </si>
  <si>
    <t>Machines engineered for two-hand activation are working properly</t>
  </si>
  <si>
    <t>Air compressor guns are not in every openings</t>
  </si>
  <si>
    <t>Machine safety signs &amp; SOPs are displayed in each machine</t>
  </si>
  <si>
    <t>Not provided safety shoes</t>
  </si>
  <si>
    <t>Maintenance workshop</t>
  </si>
  <si>
    <t>Found items not allowed in the production area</t>
  </si>
  <si>
    <t>Carpet not provide for all applicable employees</t>
  </si>
  <si>
    <t>Training Center</t>
  </si>
  <si>
    <t>Training Room</t>
  </si>
  <si>
    <t>Executive IE (Training Room)</t>
  </si>
  <si>
    <t>HR (Medical Center)</t>
  </si>
  <si>
    <t>HR &amp; Admin Manager</t>
  </si>
  <si>
    <t xml:space="preserve">Accurate accident data is updated </t>
  </si>
  <si>
    <t>R,C</t>
  </si>
  <si>
    <t>Incident &amp; Accident Reporting is done &amp; investigated</t>
  </si>
  <si>
    <t xml:space="preserve">Remedial Action taken to prevent future accidents </t>
  </si>
  <si>
    <t>Daily inventory of medicines maintained</t>
  </si>
  <si>
    <t>Weekly medicine consumption  is updated</t>
  </si>
  <si>
    <t>Expiry dates of medicines kept monitored &amp; expired medicines stored at a separate container with proper labeling</t>
  </si>
  <si>
    <t>Adequate first aid is available in first aid boxes as per to First aid policy or factories ordinance</t>
  </si>
  <si>
    <t>Mobile First Aid kit is available in the Medical Center to use in an emergency situation</t>
  </si>
  <si>
    <t xml:space="preserve">SDS available in the medical room / guard house or any other place which is easily accessible </t>
  </si>
  <si>
    <t>First aid boxes are checked weekly</t>
  </si>
  <si>
    <t>PPEs Issuing Documents Update</t>
  </si>
  <si>
    <t>First Aid Boxes provides all relevant departments and maintaining good first aid boxes</t>
  </si>
  <si>
    <t>Fire Register preparing of the relevant time</t>
  </si>
  <si>
    <t>Medical center equipment working condition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</si>
</sst>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_ * #,##0_ ;_ * \-#,##0_ ;_ * &quot;-&quot;_ ;_ @_ "/>
    <numFmt numFmtId="177" formatCode="0.0"/>
    <numFmt numFmtId="178" formatCode="0_ "/>
    <numFmt numFmtId="44" formatCode="_(&quot;$&quot;* #,##0.00_);_(&quot;$&quot;* \(#,##0.00\);_(&quot;$&quot;* &quot;-&quot;??_);_(@_)"/>
    <numFmt numFmtId="179" formatCode="_ * #,##0.00_ ;_ * \-#,##0.00_ ;_ * &quot;-&quot;??_ ;_ @_ "/>
  </numFmts>
  <fonts count="42">
    <font>
      <sz val="11"/>
      <color theme="1"/>
      <name val="Calibri"/>
      <charset val="134"/>
    </font>
    <font>
      <sz val="12"/>
      <name val="Arial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2"/>
      <color theme="1"/>
      <name val="Calibri"/>
      <charset val="134"/>
    </font>
    <font>
      <sz val="11"/>
      <name val="Calibri"/>
      <charset val="134"/>
    </font>
    <font>
      <b/>
      <sz val="14"/>
      <name val="Calibri"/>
      <charset val="134"/>
    </font>
    <font>
      <sz val="14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b/>
      <sz val="12"/>
      <color rgb="FFFF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b/>
      <sz val="16"/>
      <color rgb="FFFFFFFF"/>
      <name val="Calibri"/>
      <charset val="134"/>
    </font>
    <font>
      <i/>
      <sz val="10"/>
      <color rgb="FF595959"/>
      <name val="Calibri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99"/>
        <bgColor rgb="FFFFEB9C"/>
      </patternFill>
    </fill>
    <fill>
      <patternFill patternType="solid">
        <fgColor rgb="FFFFFF00"/>
        <bgColor rgb="FFFFC000"/>
      </patternFill>
    </fill>
    <fill>
      <patternFill patternType="solid">
        <fgColor theme="7" tint="0.799798577837458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5" tint="0.399792474135563"/>
        <bgColor rgb="FFFFC7CE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rgb="FFFF8080"/>
      </patternFill>
    </fill>
    <fill>
      <patternFill patternType="solid">
        <fgColor theme="4" tint="0.799798577837458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EEBF7"/>
      </patternFill>
    </fill>
    <fill>
      <patternFill patternType="solid">
        <fgColor rgb="FFFFC000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21" fillId="22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24" fillId="23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3" fillId="37" borderId="1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31" borderId="16" applyNumberFormat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6" fillId="39" borderId="20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39" borderId="16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7" fillId="0" borderId="0"/>
    <xf numFmtId="0" fontId="21" fillId="2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3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8" fontId="2" fillId="4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178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8" borderId="5" xfId="0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4" fillId="3" borderId="0" xfId="0" applyFont="1" applyFill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4" fillId="3" borderId="0" xfId="0" applyFont="1" applyFill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2" fillId="8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/>
    <xf numFmtId="0" fontId="3" fillId="5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wrapText="1"/>
    </xf>
    <xf numFmtId="0" fontId="3" fillId="8" borderId="0" xfId="0" applyFont="1" applyFill="1" applyAlignment="1"/>
    <xf numFmtId="178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/>
    <xf numFmtId="0" fontId="9" fillId="0" borderId="3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9" fillId="8" borderId="0" xfId="0" applyFont="1" applyFill="1" applyAlignment="1">
      <alignment horizontal="left" vertical="center" wrapText="1"/>
    </xf>
    <xf numFmtId="0" fontId="1" fillId="8" borderId="0" xfId="0" applyFont="1" applyFill="1" applyAlignme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 wrapText="1"/>
    </xf>
    <xf numFmtId="0" fontId="15" fillId="12" borderId="1" xfId="0" applyFont="1" applyFill="1" applyBorder="1" applyAlignment="1">
      <alignment vertical="center" wrapText="1"/>
    </xf>
    <xf numFmtId="0" fontId="14" fillId="12" borderId="0" xfId="0" applyFont="1" applyFill="1" applyAlignment="1">
      <alignment vertical="center" wrapText="1"/>
    </xf>
    <xf numFmtId="0" fontId="14" fillId="4" borderId="2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5" fillId="4" borderId="1" xfId="0" applyFont="1" applyFill="1" applyBorder="1">
      <alignment vertical="center"/>
    </xf>
    <xf numFmtId="0" fontId="15" fillId="4" borderId="4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vertical="center" wrapText="1"/>
    </xf>
    <xf numFmtId="0" fontId="15" fillId="12" borderId="0" xfId="0" applyFont="1" applyFill="1" applyAlignment="1">
      <alignment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vertical="center" wrapText="1"/>
    </xf>
    <xf numFmtId="0" fontId="15" fillId="12" borderId="2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vertical="center" wrapText="1"/>
    </xf>
    <xf numFmtId="0" fontId="15" fillId="4" borderId="9" xfId="0" applyFont="1" applyFill="1" applyBorder="1">
      <alignment vertical="center"/>
    </xf>
    <xf numFmtId="0" fontId="15" fillId="4" borderId="0" xfId="0" applyFont="1" applyFill="1">
      <alignment vertical="center"/>
    </xf>
    <xf numFmtId="0" fontId="15" fillId="4" borderId="6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vertical="center" wrapText="1"/>
    </xf>
    <xf numFmtId="0" fontId="15" fillId="4" borderId="10" xfId="0" applyFont="1" applyFill="1" applyBorder="1" applyAlignment="1">
      <alignment vertical="center" wrapText="1"/>
    </xf>
    <xf numFmtId="0" fontId="16" fillId="4" borderId="1" xfId="0" applyFont="1" applyFill="1" applyBorder="1">
      <alignment vertical="center"/>
    </xf>
    <xf numFmtId="0" fontId="15" fillId="12" borderId="1" xfId="0" applyFont="1" applyFill="1" applyBorder="1">
      <alignment vertical="center"/>
    </xf>
    <xf numFmtId="0" fontId="15" fillId="12" borderId="3" xfId="0" applyFont="1" applyFill="1" applyBorder="1" applyAlignment="1">
      <alignment vertical="center" wrapText="1"/>
    </xf>
    <xf numFmtId="0" fontId="13" fillId="4" borderId="1" xfId="0" applyFont="1" applyFill="1" applyBorder="1">
      <alignment vertical="center"/>
    </xf>
    <xf numFmtId="0" fontId="13" fillId="12" borderId="1" xfId="0" applyFont="1" applyFill="1" applyBorder="1">
      <alignment vertical="center"/>
    </xf>
    <xf numFmtId="0" fontId="13" fillId="12" borderId="0" xfId="0" applyFont="1" applyFill="1" applyAlignment="1">
      <alignment vertical="center" wrapText="1"/>
    </xf>
    <xf numFmtId="0" fontId="15" fillId="12" borderId="4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/>
    <xf numFmtId="0" fontId="17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14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1" fontId="16" fillId="0" borderId="11" xfId="0" applyNumberFormat="1" applyFont="1" applyBorder="1" applyAlignment="1">
      <alignment horizontal="center" vertical="center"/>
    </xf>
    <xf numFmtId="1" fontId="16" fillId="0" borderId="11" xfId="6" applyNumberFormat="1" applyFont="1" applyBorder="1" applyAlignment="1">
      <alignment horizontal="center" vertical="center"/>
    </xf>
    <xf numFmtId="1" fontId="16" fillId="15" borderId="11" xfId="6" applyNumberFormat="1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left"/>
    </xf>
    <xf numFmtId="0" fontId="20" fillId="16" borderId="13" xfId="0" applyFont="1" applyFill="1" applyBorder="1" applyAlignment="1">
      <alignment horizontal="left"/>
    </xf>
    <xf numFmtId="0" fontId="20" fillId="16" borderId="11" xfId="0" applyFont="1" applyFill="1" applyBorder="1" applyAlignment="1">
      <alignment horizontal="left"/>
    </xf>
    <xf numFmtId="1" fontId="20" fillId="16" borderId="11" xfId="0" applyNumberFormat="1" applyFont="1" applyFill="1" applyBorder="1" applyAlignment="1">
      <alignment horizontal="center"/>
    </xf>
    <xf numFmtId="0" fontId="20" fillId="16" borderId="0" xfId="0" applyFont="1" applyFill="1" applyAlignment="1">
      <alignment horizontal="left"/>
    </xf>
    <xf numFmtId="1" fontId="20" fillId="16" borderId="0" xfId="0" applyNumberFormat="1" applyFont="1" applyFill="1" applyAlignment="1">
      <alignment horizontal="center"/>
    </xf>
    <xf numFmtId="1" fontId="20" fillId="17" borderId="0" xfId="0" applyNumberFormat="1" applyFont="1" applyFill="1" applyAlignment="1">
      <alignment horizontal="center"/>
    </xf>
    <xf numFmtId="177" fontId="20" fillId="18" borderId="0" xfId="0" applyNumberFormat="1" applyFont="1" applyFill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3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DEEBF7"/>
      <rgbColor rgb="00660066"/>
      <rgbColor rgb="00FF8080"/>
      <rgbColor rgb="002E75B6"/>
      <rgbColor rgb="00D9E1F2"/>
      <rgbColor rgb="00000080"/>
      <rgbColor rgb="00FF00FF"/>
      <rgbColor rgb="00FFEB9C"/>
      <rgbColor rgb="0000FFFF"/>
      <rgbColor rgb="00800080"/>
      <rgbColor rgb="00800000"/>
      <rgbColor rgb="00008080"/>
      <rgbColor rgb="000000FF"/>
      <rgbColor rgb="0000B0F0"/>
      <rgbColor rgb="00F2F2F2"/>
      <rgbColor rgb="00C6EFCE"/>
      <rgbColor rgb="00FFFF99"/>
      <rgbColor rgb="0099CCFF"/>
      <rgbColor rgb="00F4B183"/>
      <rgbColor rgb="00CC99FF"/>
      <rgbColor rgb="00FFC7CE"/>
      <rgbColor rgb="004472C4"/>
      <rgbColor rgb="0033CCCC"/>
      <rgbColor rgb="0099CC00"/>
      <rgbColor rgb="00FFC000"/>
      <rgbColor rgb="00FF9900"/>
      <rgbColor rgb="00ED7D31"/>
      <rgbColor rgb="00595959"/>
      <rgbColor rgb="00969696"/>
      <rgbColor rgb="001F3864"/>
      <rgbColor rgb="0000B050"/>
      <rgbColor rgb="00003300"/>
      <rgbColor rgb="00333300"/>
      <rgbColor rgb="00993300"/>
      <rgbColor rgb="00993366"/>
      <rgbColor rgb="002E5395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60</xdr:row>
      <xdr:rowOff>42480</xdr:rowOff>
    </xdr:from>
    <xdr:to>
      <xdr:col>2</xdr:col>
      <xdr:colOff>1578960</xdr:colOff>
      <xdr:row>66</xdr:row>
      <xdr:rowOff>319680</xdr:rowOff>
    </xdr:to>
    <xdr:pic>
      <xdr:nvPicPr>
        <xdr:cNvPr id="2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32436435"/>
          <a:ext cx="2119630" cy="278257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56</xdr:row>
      <xdr:rowOff>42480</xdr:rowOff>
    </xdr:from>
    <xdr:to>
      <xdr:col>2</xdr:col>
      <xdr:colOff>1239840</xdr:colOff>
      <xdr:row>62</xdr:row>
      <xdr:rowOff>319680</xdr:rowOff>
    </xdr:to>
    <xdr:pic>
      <xdr:nvPicPr>
        <xdr:cNvPr id="3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30702885"/>
          <a:ext cx="2115820" cy="278257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57</xdr:row>
      <xdr:rowOff>42480</xdr:rowOff>
    </xdr:from>
    <xdr:to>
      <xdr:col>2</xdr:col>
      <xdr:colOff>1239840</xdr:colOff>
      <xdr:row>63</xdr:row>
      <xdr:rowOff>319680</xdr:rowOff>
    </xdr:to>
    <xdr:pic>
      <xdr:nvPicPr>
        <xdr:cNvPr id="4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31312485"/>
          <a:ext cx="2115820" cy="278257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50</xdr:row>
      <xdr:rowOff>42480</xdr:rowOff>
    </xdr:from>
    <xdr:to>
      <xdr:col>1</xdr:col>
      <xdr:colOff>1849320</xdr:colOff>
      <xdr:row>55</xdr:row>
      <xdr:rowOff>383040</xdr:rowOff>
    </xdr:to>
    <xdr:pic>
      <xdr:nvPicPr>
        <xdr:cNvPr id="6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27797760"/>
          <a:ext cx="2115820" cy="277939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53</xdr:row>
      <xdr:rowOff>42480</xdr:rowOff>
    </xdr:from>
    <xdr:to>
      <xdr:col>1</xdr:col>
      <xdr:colOff>1849320</xdr:colOff>
      <xdr:row>58</xdr:row>
      <xdr:rowOff>357481</xdr:rowOff>
    </xdr:to>
    <xdr:pic>
      <xdr:nvPicPr>
        <xdr:cNvPr id="7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28073985"/>
          <a:ext cx="2115820" cy="27819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49</xdr:row>
      <xdr:rowOff>42480</xdr:rowOff>
    </xdr:from>
    <xdr:to>
      <xdr:col>2</xdr:col>
      <xdr:colOff>1239840</xdr:colOff>
      <xdr:row>55</xdr:row>
      <xdr:rowOff>319680</xdr:rowOff>
    </xdr:to>
    <xdr:pic>
      <xdr:nvPicPr>
        <xdr:cNvPr id="8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25511760"/>
          <a:ext cx="2115820" cy="278257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56</xdr:row>
      <xdr:rowOff>42480</xdr:rowOff>
    </xdr:from>
    <xdr:to>
      <xdr:col>2</xdr:col>
      <xdr:colOff>1239840</xdr:colOff>
      <xdr:row>62</xdr:row>
      <xdr:rowOff>319680</xdr:rowOff>
    </xdr:to>
    <xdr:pic>
      <xdr:nvPicPr>
        <xdr:cNvPr id="9" name="Picture 1" descr="WhatsApp Image 2024-11-04 at 14.08.04"/>
        <xdr:cNvPicPr/>
      </xdr:nvPicPr>
      <xdr:blipFill>
        <a:blip r:embed="rId1"/>
        <a:stretch>
          <a:fillRect/>
        </a:stretch>
      </xdr:blipFill>
      <xdr:spPr>
        <a:xfrm>
          <a:off x="0" y="30702885"/>
          <a:ext cx="2115820" cy="278257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pane ySplit="3" topLeftCell="A4" activePane="bottomLeft" state="frozen"/>
      <selection/>
      <selection pane="bottomLeft" activeCell="G5" sqref="G5"/>
    </sheetView>
  </sheetViews>
  <sheetFormatPr defaultColWidth="8.66666666666667" defaultRowHeight="14.4" outlineLevelCol="7"/>
  <cols>
    <col min="1" max="1" width="5.66666666666667" style="200" customWidth="1"/>
    <col min="2" max="2" width="30" style="200" customWidth="1"/>
    <col min="3" max="3" width="16" style="200" customWidth="1"/>
    <col min="4" max="4" width="51.2222222222222" style="200" customWidth="1"/>
    <col min="5" max="6" width="12" style="200" customWidth="1"/>
    <col min="7" max="8" width="10" style="200" customWidth="1"/>
  </cols>
  <sheetData>
    <row r="1" ht="25.5" customHeight="1" spans="1:8">
      <c r="A1" s="201" t="s">
        <v>0</v>
      </c>
      <c r="B1" s="201"/>
      <c r="C1" s="201"/>
      <c r="D1" s="201"/>
      <c r="E1" s="201"/>
      <c r="F1" s="201"/>
      <c r="G1" s="201"/>
      <c r="H1" s="201"/>
    </row>
    <row r="2" ht="15.75" customHeight="1" spans="1:8">
      <c r="A2" s="202" t="s">
        <v>1</v>
      </c>
      <c r="B2" s="202"/>
      <c r="C2" s="202"/>
      <c r="D2" s="202"/>
      <c r="E2" s="202"/>
      <c r="F2" s="202"/>
      <c r="G2" s="202"/>
      <c r="H2" s="202"/>
    </row>
    <row r="3" ht="30" customHeight="1" spans="1:8">
      <c r="A3" s="203" t="s">
        <v>2</v>
      </c>
      <c r="B3" s="203" t="s">
        <v>3</v>
      </c>
      <c r="C3" s="203" t="s">
        <v>4</v>
      </c>
      <c r="D3" s="203" t="s">
        <v>5</v>
      </c>
      <c r="E3" s="203" t="s">
        <v>6</v>
      </c>
      <c r="F3" s="203" t="s">
        <v>7</v>
      </c>
      <c r="G3" s="203" t="s">
        <v>8</v>
      </c>
      <c r="H3" s="203" t="s">
        <v>7</v>
      </c>
    </row>
    <row r="4" ht="14.25" customHeight="1" spans="1:8">
      <c r="A4" s="204">
        <v>1</v>
      </c>
      <c r="B4" s="205" t="s">
        <v>9</v>
      </c>
      <c r="C4" s="205" t="s">
        <v>10</v>
      </c>
      <c r="D4" s="206">
        <f>'General Maintenance'!E40</f>
        <v>465</v>
      </c>
      <c r="E4" s="206">
        <f>'General Maintenance'!F40</f>
        <v>265</v>
      </c>
      <c r="F4" s="206">
        <f>'General Maintenance'!G40</f>
        <v>330</v>
      </c>
      <c r="G4" s="207">
        <v>57</v>
      </c>
      <c r="H4" s="207">
        <v>71</v>
      </c>
    </row>
    <row r="5" ht="14.25" customHeight="1" spans="1:8">
      <c r="A5" s="204">
        <v>2</v>
      </c>
      <c r="B5" s="205" t="s">
        <v>11</v>
      </c>
      <c r="C5" s="205" t="s">
        <v>12</v>
      </c>
      <c r="D5" s="206">
        <f>Admin!E29</f>
        <v>265</v>
      </c>
      <c r="E5" s="206">
        <f>Admin!F29</f>
        <v>225</v>
      </c>
      <c r="F5" s="206">
        <f>Admin!G29</f>
        <v>245</v>
      </c>
      <c r="G5" s="207">
        <v>85</v>
      </c>
      <c r="H5" s="207">
        <v>92</v>
      </c>
    </row>
    <row r="6" ht="14.25" customHeight="1" spans="1:8">
      <c r="A6" s="204">
        <v>3</v>
      </c>
      <c r="B6" s="205" t="s">
        <v>13</v>
      </c>
      <c r="C6" s="205" t="s">
        <v>14</v>
      </c>
      <c r="D6" s="206">
        <f>'RM Stores'!E35</f>
        <v>235</v>
      </c>
      <c r="E6" s="206">
        <f>'RM Stores'!F35</f>
        <v>205</v>
      </c>
      <c r="F6" s="206">
        <f>'RM Stores'!G35</f>
        <v>215</v>
      </c>
      <c r="G6" s="207">
        <v>87</v>
      </c>
      <c r="H6" s="208">
        <v>91</v>
      </c>
    </row>
    <row r="7" ht="14.25" customHeight="1" spans="1:8">
      <c r="A7" s="204">
        <v>4</v>
      </c>
      <c r="B7" s="205" t="s">
        <v>15</v>
      </c>
      <c r="C7" s="205" t="s">
        <v>14</v>
      </c>
      <c r="D7" s="206">
        <f>FG!E28</f>
        <v>155</v>
      </c>
      <c r="E7" s="206">
        <f>FG!F28</f>
        <v>130</v>
      </c>
      <c r="F7" s="206">
        <f>FG!G28</f>
        <v>130</v>
      </c>
      <c r="G7" s="207">
        <v>84</v>
      </c>
      <c r="H7" s="208">
        <v>84</v>
      </c>
    </row>
    <row r="8" ht="14.25" customHeight="1" spans="1:8">
      <c r="A8" s="204">
        <v>5</v>
      </c>
      <c r="B8" s="205" t="s">
        <v>16</v>
      </c>
      <c r="C8" s="205" t="s">
        <v>17</v>
      </c>
      <c r="D8" s="206">
        <f>Accessories!E36</f>
        <v>225</v>
      </c>
      <c r="E8" s="206">
        <f>Accessories!F36</f>
        <v>160</v>
      </c>
      <c r="F8" s="206">
        <f>Accessories!G36</f>
        <v>180</v>
      </c>
      <c r="G8" s="207">
        <v>71</v>
      </c>
      <c r="H8" s="208">
        <v>80</v>
      </c>
    </row>
    <row r="9" ht="14.25" customHeight="1" spans="1:8">
      <c r="A9" s="204">
        <v>6</v>
      </c>
      <c r="B9" s="205" t="s">
        <v>18</v>
      </c>
      <c r="C9" s="205" t="s">
        <v>19</v>
      </c>
      <c r="D9" s="206">
        <f>Cutting!E29</f>
        <v>155</v>
      </c>
      <c r="E9" s="206">
        <f>Cutting!F29</f>
        <v>155</v>
      </c>
      <c r="F9" s="206">
        <f>Cutting!G29</f>
        <v>155</v>
      </c>
      <c r="G9" s="207">
        <v>100</v>
      </c>
      <c r="H9" s="208">
        <v>100</v>
      </c>
    </row>
    <row r="10" ht="14.25" customHeight="1" spans="1:8">
      <c r="A10" s="204">
        <v>7</v>
      </c>
      <c r="B10" s="205" t="s">
        <v>20</v>
      </c>
      <c r="C10" s="205" t="s">
        <v>21</v>
      </c>
      <c r="D10" s="206">
        <f>'Ground floor modules &amp; Molding'!E38</f>
        <v>265</v>
      </c>
      <c r="E10" s="206">
        <f>'Ground floor modules &amp; Molding'!F38</f>
        <v>205</v>
      </c>
      <c r="F10" s="206">
        <f>'Ground floor modules &amp; Molding'!G38</f>
        <v>225</v>
      </c>
      <c r="G10" s="207">
        <v>77</v>
      </c>
      <c r="H10" s="208">
        <v>85</v>
      </c>
    </row>
    <row r="11" ht="14.25" customHeight="1" spans="1:8">
      <c r="A11" s="204">
        <v>8</v>
      </c>
      <c r="B11" s="205" t="s">
        <v>22</v>
      </c>
      <c r="C11" s="205" t="s">
        <v>21</v>
      </c>
      <c r="D11" s="206">
        <f>'Packing '!E26</f>
        <v>140</v>
      </c>
      <c r="E11" s="206">
        <f>'Packing '!F26</f>
        <v>140</v>
      </c>
      <c r="F11" s="206">
        <f>'Packing '!G26</f>
        <v>140</v>
      </c>
      <c r="G11" s="207">
        <v>100</v>
      </c>
      <c r="H11" s="208">
        <v>100</v>
      </c>
    </row>
    <row r="12" ht="14.25" customHeight="1" spans="1:8">
      <c r="A12" s="204">
        <v>9</v>
      </c>
      <c r="B12" s="205" t="s">
        <v>23</v>
      </c>
      <c r="C12" s="205" t="s">
        <v>24</v>
      </c>
      <c r="D12" s="206">
        <f>'Audit room &amp; Final Inspection'!E25</f>
        <v>95</v>
      </c>
      <c r="E12" s="206">
        <f>'Audit room &amp; Final Inspection'!F25</f>
        <v>80</v>
      </c>
      <c r="F12" s="206">
        <f>'Audit room &amp; Final Inspection'!G25</f>
        <v>95</v>
      </c>
      <c r="G12" s="207">
        <v>84</v>
      </c>
      <c r="H12" s="208">
        <v>100</v>
      </c>
    </row>
    <row r="13" ht="14.25" customHeight="1" spans="1:8">
      <c r="A13" s="204">
        <v>10</v>
      </c>
      <c r="B13" s="205" t="s">
        <v>25</v>
      </c>
      <c r="C13" s="205" t="s">
        <v>26</v>
      </c>
      <c r="D13" s="206">
        <f>'Lab &amp; CPI'!E26</f>
        <v>130</v>
      </c>
      <c r="E13" s="206">
        <f>'Lab &amp; CPI'!F26</f>
        <v>115</v>
      </c>
      <c r="F13" s="206">
        <f>'Lab &amp; CPI'!G26</f>
        <v>130</v>
      </c>
      <c r="G13" s="207">
        <v>88</v>
      </c>
      <c r="H13" s="208">
        <v>100</v>
      </c>
    </row>
    <row r="14" ht="14.25" customHeight="1" spans="1:8">
      <c r="A14" s="204">
        <v>11</v>
      </c>
      <c r="B14" s="205" t="s">
        <v>27</v>
      </c>
      <c r="C14" s="205" t="s">
        <v>21</v>
      </c>
      <c r="D14" s="206">
        <f>'Screen Printing &amp; Modules'!E35</f>
        <v>210</v>
      </c>
      <c r="E14" s="206">
        <f>'Screen Printing &amp; Modules'!F35</f>
        <v>125</v>
      </c>
      <c r="F14" s="206">
        <f>'Screen Printing &amp; Modules'!G35</f>
        <v>140</v>
      </c>
      <c r="G14" s="207">
        <v>60</v>
      </c>
      <c r="H14" s="208">
        <v>67</v>
      </c>
    </row>
    <row r="15" ht="14.25" customHeight="1" spans="1:8">
      <c r="A15" s="204">
        <v>12</v>
      </c>
      <c r="B15" s="205" t="s">
        <v>28</v>
      </c>
      <c r="C15" s="205" t="s">
        <v>29</v>
      </c>
      <c r="D15" s="206">
        <f>'Sample Room'!D32</f>
        <v>180</v>
      </c>
      <c r="E15" s="206">
        <f>'Sample Room'!E32</f>
        <v>170</v>
      </c>
      <c r="F15" s="206">
        <f>'Sample Room'!F32</f>
        <v>180</v>
      </c>
      <c r="G15" s="207">
        <v>94</v>
      </c>
      <c r="H15" s="208">
        <v>100</v>
      </c>
    </row>
    <row r="16" ht="14.25" customHeight="1" spans="1:8">
      <c r="A16" s="204">
        <v>13</v>
      </c>
      <c r="B16" s="205" t="s">
        <v>30</v>
      </c>
      <c r="C16" s="205" t="s">
        <v>26</v>
      </c>
      <c r="D16" s="206">
        <f>Coating!D35</f>
        <v>205</v>
      </c>
      <c r="E16" s="206">
        <f>Coating!E35</f>
        <v>190</v>
      </c>
      <c r="F16" s="206">
        <f>Coating!F35</f>
        <v>190</v>
      </c>
      <c r="G16" s="207">
        <v>93</v>
      </c>
      <c r="H16" s="208">
        <v>93</v>
      </c>
    </row>
    <row r="17" ht="14.25" customHeight="1" spans="1:8">
      <c r="A17" s="204">
        <v>14</v>
      </c>
      <c r="B17" s="205" t="s">
        <v>31</v>
      </c>
      <c r="C17" s="205" t="s">
        <v>32</v>
      </c>
      <c r="D17" s="206">
        <f>'Forte '!E27</f>
        <v>180</v>
      </c>
      <c r="E17" s="206">
        <f>'Forte '!F27</f>
        <v>180</v>
      </c>
      <c r="F17" s="206">
        <f>'Forte '!G27</f>
        <v>180</v>
      </c>
      <c r="G17" s="207">
        <v>100</v>
      </c>
      <c r="H17" s="208">
        <v>100</v>
      </c>
    </row>
    <row r="18" ht="14.25" customHeight="1" spans="1:8">
      <c r="A18" s="204">
        <v>15</v>
      </c>
      <c r="B18" s="205" t="s">
        <v>33</v>
      </c>
      <c r="C18" s="205" t="s">
        <v>34</v>
      </c>
      <c r="D18" s="206">
        <f>IE!D30</f>
        <v>220</v>
      </c>
      <c r="E18" s="206">
        <f>IE!E30</f>
        <v>130</v>
      </c>
      <c r="F18" s="206">
        <f>IE!F30</f>
        <v>150</v>
      </c>
      <c r="G18" s="207">
        <v>59</v>
      </c>
      <c r="H18" s="208">
        <v>68</v>
      </c>
    </row>
    <row r="19" ht="14.25" customHeight="1" spans="1:8">
      <c r="A19" s="204">
        <v>16</v>
      </c>
      <c r="B19" s="205" t="s">
        <v>35</v>
      </c>
      <c r="C19" s="205" t="s">
        <v>34</v>
      </c>
      <c r="D19" s="206">
        <f>'Training School'!E30</f>
        <v>130</v>
      </c>
      <c r="E19" s="206">
        <f>'Training School'!F30</f>
        <v>130</v>
      </c>
      <c r="F19" s="206">
        <f>'Training School'!G30</f>
        <v>130</v>
      </c>
      <c r="G19" s="207">
        <v>100</v>
      </c>
      <c r="H19" s="208">
        <v>100</v>
      </c>
    </row>
    <row r="20" ht="14.25" customHeight="1" spans="1:8">
      <c r="A20" s="204">
        <v>17</v>
      </c>
      <c r="B20" s="205" t="s">
        <v>36</v>
      </c>
      <c r="C20" s="205" t="s">
        <v>37</v>
      </c>
      <c r="D20" s="206">
        <f>'Medical Centre'!E21</f>
        <v>100</v>
      </c>
      <c r="E20" s="206">
        <f>'Medical Centre'!F21</f>
        <v>95</v>
      </c>
      <c r="F20" s="206">
        <f>'Medical Centre'!G21</f>
        <v>95</v>
      </c>
      <c r="G20" s="207">
        <v>95</v>
      </c>
      <c r="H20" s="208">
        <v>95</v>
      </c>
    </row>
    <row r="21" ht="14.25" customHeight="1" spans="1:8">
      <c r="A21" s="209" t="s">
        <v>38</v>
      </c>
      <c r="B21" s="210"/>
      <c r="C21" s="211"/>
      <c r="D21" s="212"/>
      <c r="E21" s="212"/>
      <c r="F21" s="212"/>
      <c r="G21" s="212">
        <f>SUM(G4:G20)</f>
        <v>1434</v>
      </c>
      <c r="H21" s="212">
        <f>SUM(H4:H20)</f>
        <v>1526</v>
      </c>
    </row>
    <row r="22" spans="1:8">
      <c r="A22" s="213" t="s">
        <v>39</v>
      </c>
      <c r="B22" s="213"/>
      <c r="C22" s="213"/>
      <c r="D22" s="214"/>
      <c r="E22" s="214"/>
      <c r="F22" s="214"/>
      <c r="G22" s="215">
        <f>G21/17</f>
        <v>84.3529411764706</v>
      </c>
      <c r="H22" s="216" t="s">
        <v>40</v>
      </c>
    </row>
  </sheetData>
  <mergeCells count="3">
    <mergeCell ref="A1:H1"/>
    <mergeCell ref="A2:H2"/>
    <mergeCell ref="A21:B21"/>
  </mergeCells>
  <conditionalFormatting sqref="H4:H22">
    <cfRule type="cellIs" dxfId="0" priority="1" operator="lessThan">
      <formula>0.7</formula>
    </cfRule>
    <cfRule type="expression" dxfId="1" priority="2">
      <formula>AND(H4&gt;=0.7,H4&lt;0.85)</formula>
    </cfRule>
    <cfRule type="cellIs" dxfId="2" priority="3" operator="greaterThanOrEqual">
      <formula>0.85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workbookViewId="0">
      <pane xSplit="2" topLeftCell="C1" activePane="topRight" state="frozen"/>
      <selection/>
      <selection pane="topRight" activeCell="C10" sqref="C10"/>
    </sheetView>
  </sheetViews>
  <sheetFormatPr defaultColWidth="8.88888888888889" defaultRowHeight="12" outlineLevelCol="5"/>
  <cols>
    <col min="1" max="1" width="8.88888888888889" style="155"/>
    <col min="2" max="2" width="24.8888888888889" style="154" customWidth="1"/>
    <col min="3" max="3" width="37.3333333333333" style="156" customWidth="1"/>
    <col min="4" max="4" width="32.1111111111111" style="156" customWidth="1"/>
    <col min="5" max="5" width="31.4444444444444" style="156" customWidth="1"/>
    <col min="6" max="6" width="31.7777777777778" style="156" customWidth="1"/>
    <col min="7" max="16384" width="8.88888888888889" style="156"/>
  </cols>
  <sheetData>
    <row r="1" ht="33" customHeight="1" spans="1:6">
      <c r="A1" s="157" t="s">
        <v>41</v>
      </c>
      <c r="B1" s="157"/>
      <c r="C1" s="157"/>
      <c r="D1" s="157"/>
      <c r="E1" s="157"/>
      <c r="F1" s="157"/>
    </row>
    <row r="2" s="154" customFormat="1" ht="31.5" customHeight="1" spans="1:6">
      <c r="A2" s="158"/>
      <c r="B2" s="159"/>
      <c r="C2" s="160" t="s">
        <v>42</v>
      </c>
      <c r="D2" s="161" t="s">
        <v>43</v>
      </c>
      <c r="E2" s="162" t="s">
        <v>44</v>
      </c>
      <c r="F2" s="163" t="s">
        <v>45</v>
      </c>
    </row>
    <row r="3" ht="24.75" customHeight="1" spans="1:6">
      <c r="A3" s="164">
        <v>1</v>
      </c>
      <c r="B3" s="165" t="s">
        <v>46</v>
      </c>
      <c r="C3" s="166" t="s">
        <v>47</v>
      </c>
      <c r="D3" s="166"/>
      <c r="E3" s="166"/>
      <c r="F3" s="166"/>
    </row>
    <row r="4" ht="24.75" customHeight="1" spans="1:6">
      <c r="A4" s="167">
        <v>2</v>
      </c>
      <c r="B4" s="168" t="s">
        <v>48</v>
      </c>
      <c r="C4" s="169" t="s">
        <v>49</v>
      </c>
      <c r="D4" s="170"/>
      <c r="E4" s="169"/>
      <c r="F4" s="169"/>
    </row>
    <row r="5" ht="24.75" customHeight="1" spans="1:6">
      <c r="A5" s="167"/>
      <c r="B5" s="168"/>
      <c r="C5" s="169"/>
      <c r="D5" s="169" t="s">
        <v>50</v>
      </c>
      <c r="E5" s="169"/>
      <c r="F5" s="169"/>
    </row>
    <row r="6" ht="25.5" customHeight="1" spans="1:6">
      <c r="A6" s="164">
        <v>3</v>
      </c>
      <c r="B6" s="165" t="s">
        <v>51</v>
      </c>
      <c r="C6" s="166" t="s">
        <v>52</v>
      </c>
      <c r="D6" s="171"/>
      <c r="E6" s="172"/>
      <c r="F6" s="166"/>
    </row>
    <row r="7" ht="25.5" customHeight="1" spans="1:6">
      <c r="A7" s="164"/>
      <c r="B7" s="165"/>
      <c r="C7" s="166"/>
      <c r="D7" s="173" t="s">
        <v>53</v>
      </c>
      <c r="E7" s="172"/>
      <c r="F7" s="166"/>
    </row>
    <row r="8" ht="36.75" customHeight="1" spans="1:6">
      <c r="A8" s="164"/>
      <c r="B8" s="165"/>
      <c r="C8" s="166"/>
      <c r="D8" s="173" t="s">
        <v>54</v>
      </c>
      <c r="E8" s="172"/>
      <c r="F8" s="174"/>
    </row>
    <row r="9" ht="27" customHeight="1" spans="1:6">
      <c r="A9" s="164"/>
      <c r="B9" s="165"/>
      <c r="C9" s="166"/>
      <c r="D9" s="175" t="s">
        <v>55</v>
      </c>
      <c r="E9" s="172"/>
      <c r="F9" s="166"/>
    </row>
    <row r="10" ht="27" customHeight="1" spans="1:6">
      <c r="A10" s="164"/>
      <c r="B10" s="165"/>
      <c r="C10" s="166"/>
      <c r="D10" s="166"/>
      <c r="E10" s="176" t="s">
        <v>56</v>
      </c>
      <c r="F10" s="166"/>
    </row>
    <row r="11" ht="27" customHeight="1" spans="1:6">
      <c r="A11" s="164"/>
      <c r="B11" s="165"/>
      <c r="C11" s="166"/>
      <c r="D11" s="166"/>
      <c r="E11" s="176" t="s">
        <v>57</v>
      </c>
      <c r="F11" s="166"/>
    </row>
    <row r="12" ht="27" customHeight="1" spans="1:6">
      <c r="A12" s="164"/>
      <c r="B12" s="165"/>
      <c r="C12" s="166"/>
      <c r="D12" s="166"/>
      <c r="E12" s="177" t="s">
        <v>58</v>
      </c>
      <c r="F12" s="166"/>
    </row>
    <row r="13" ht="27" customHeight="1" spans="1:6">
      <c r="A13" s="164"/>
      <c r="B13" s="165"/>
      <c r="C13" s="166"/>
      <c r="D13" s="166"/>
      <c r="E13" s="166"/>
      <c r="F13" s="166" t="s">
        <v>59</v>
      </c>
    </row>
    <row r="14" ht="27" customHeight="1" spans="1:6">
      <c r="A14" s="167">
        <v>4</v>
      </c>
      <c r="B14" s="168" t="s">
        <v>60</v>
      </c>
      <c r="C14" s="169"/>
      <c r="D14" s="178" t="s">
        <v>61</v>
      </c>
      <c r="E14" s="169"/>
      <c r="F14" s="169" t="s">
        <v>62</v>
      </c>
    </row>
    <row r="15" ht="27" customHeight="1" spans="1:6">
      <c r="A15" s="167"/>
      <c r="B15" s="168"/>
      <c r="C15" s="169"/>
      <c r="D15" s="169"/>
      <c r="E15" s="179" t="s">
        <v>63</v>
      </c>
      <c r="F15" s="169"/>
    </row>
    <row r="16" ht="27" customHeight="1" spans="1:6">
      <c r="A16" s="167"/>
      <c r="B16" s="168"/>
      <c r="C16" s="169"/>
      <c r="D16" s="169"/>
      <c r="E16" s="169" t="s">
        <v>64</v>
      </c>
      <c r="F16" s="169"/>
    </row>
    <row r="17" ht="27" customHeight="1" spans="1:6">
      <c r="A17" s="164">
        <v>5</v>
      </c>
      <c r="B17" s="165" t="s">
        <v>65</v>
      </c>
      <c r="C17" s="166"/>
      <c r="D17" s="166"/>
      <c r="E17" s="166" t="s">
        <v>66</v>
      </c>
      <c r="F17" s="166" t="s">
        <v>67</v>
      </c>
    </row>
    <row r="18" ht="27" customHeight="1" spans="1:6">
      <c r="A18" s="164"/>
      <c r="B18" s="165"/>
      <c r="C18" s="166"/>
      <c r="D18" s="166"/>
      <c r="E18" s="166" t="s">
        <v>68</v>
      </c>
      <c r="F18" s="166" t="s">
        <v>69</v>
      </c>
    </row>
    <row r="19" ht="52.5" customHeight="1" spans="1:6">
      <c r="A19" s="180">
        <v>6</v>
      </c>
      <c r="B19" s="168" t="s">
        <v>70</v>
      </c>
      <c r="C19" s="169"/>
      <c r="D19" s="178" t="s">
        <v>71</v>
      </c>
      <c r="E19" s="181"/>
      <c r="F19" s="178"/>
    </row>
    <row r="20" ht="24" customHeight="1" spans="1:6">
      <c r="A20" s="167"/>
      <c r="B20" s="168"/>
      <c r="C20" s="182"/>
      <c r="D20" s="169" t="s">
        <v>72</v>
      </c>
      <c r="E20" s="181"/>
      <c r="F20" s="169"/>
    </row>
    <row r="21" ht="27" customHeight="1" spans="1:6">
      <c r="A21" s="167"/>
      <c r="B21" s="168"/>
      <c r="C21" s="182"/>
      <c r="D21" s="169" t="s">
        <v>73</v>
      </c>
      <c r="E21" s="181"/>
      <c r="F21" s="169"/>
    </row>
    <row r="22" ht="33.75" customHeight="1" spans="1:6">
      <c r="A22" s="167"/>
      <c r="B22" s="168"/>
      <c r="C22" s="182"/>
      <c r="D22" s="169" t="s">
        <v>74</v>
      </c>
      <c r="E22" s="181"/>
      <c r="F22" s="169"/>
    </row>
    <row r="23" ht="54.75" customHeight="1" spans="1:6">
      <c r="A23" s="167"/>
      <c r="B23" s="168"/>
      <c r="C23" s="182"/>
      <c r="D23" s="169" t="s">
        <v>75</v>
      </c>
      <c r="E23" s="169"/>
      <c r="F23" s="169"/>
    </row>
    <row r="24" ht="54.75" customHeight="1" spans="1:6">
      <c r="A24" s="167"/>
      <c r="B24" s="168"/>
      <c r="C24" s="182"/>
      <c r="D24" s="169" t="s">
        <v>76</v>
      </c>
      <c r="E24" s="169"/>
      <c r="F24" s="169"/>
    </row>
    <row r="25" ht="54.75" customHeight="1" spans="1:6">
      <c r="A25" s="167"/>
      <c r="B25" s="168"/>
      <c r="C25" s="182"/>
      <c r="D25" s="169" t="s">
        <v>77</v>
      </c>
      <c r="E25" s="169"/>
      <c r="F25" s="169"/>
    </row>
    <row r="26" ht="54" customHeight="1" spans="1:6">
      <c r="A26" s="167"/>
      <c r="B26" s="168"/>
      <c r="C26" s="182"/>
      <c r="D26" s="169" t="s">
        <v>78</v>
      </c>
      <c r="E26" s="169" t="s">
        <v>79</v>
      </c>
      <c r="F26" s="169"/>
    </row>
    <row r="27" ht="27" customHeight="1" spans="1:6">
      <c r="A27" s="181"/>
      <c r="B27" s="170"/>
      <c r="C27" s="169"/>
      <c r="D27" s="169"/>
      <c r="E27" s="178" t="s">
        <v>80</v>
      </c>
      <c r="F27" s="169"/>
    </row>
    <row r="28" ht="27" customHeight="1" spans="1:6">
      <c r="A28" s="167"/>
      <c r="B28" s="168"/>
      <c r="C28" s="169"/>
      <c r="D28" s="169"/>
      <c r="E28" s="169" t="s">
        <v>81</v>
      </c>
      <c r="F28" s="169"/>
    </row>
    <row r="29" ht="27" customHeight="1" spans="1:6">
      <c r="A29" s="167"/>
      <c r="B29" s="168"/>
      <c r="C29" s="169"/>
      <c r="D29" s="169"/>
      <c r="E29" s="169" t="s">
        <v>82</v>
      </c>
      <c r="F29" s="169"/>
    </row>
    <row r="30" ht="39" customHeight="1" spans="1:6">
      <c r="A30" s="183">
        <v>7</v>
      </c>
      <c r="B30" s="184" t="s">
        <v>83</v>
      </c>
      <c r="C30" s="185" t="s">
        <v>84</v>
      </c>
      <c r="D30" s="172"/>
      <c r="E30" s="172"/>
      <c r="F30" s="166"/>
    </row>
    <row r="31" ht="39.75" customHeight="1" spans="1:6">
      <c r="A31" s="164"/>
      <c r="B31" s="165"/>
      <c r="C31" s="175" t="s">
        <v>85</v>
      </c>
      <c r="D31" s="172"/>
      <c r="E31" s="172"/>
      <c r="F31" s="172"/>
    </row>
    <row r="32" ht="39.75" customHeight="1" spans="1:6">
      <c r="A32" s="164"/>
      <c r="B32" s="165"/>
      <c r="C32" s="166" t="s">
        <v>86</v>
      </c>
      <c r="D32" s="172"/>
      <c r="E32" s="172"/>
      <c r="F32" s="172"/>
    </row>
    <row r="33" ht="39.75" customHeight="1" spans="1:6">
      <c r="A33" s="164"/>
      <c r="B33" s="165"/>
      <c r="C33" s="166" t="s">
        <v>87</v>
      </c>
      <c r="D33" s="172"/>
      <c r="E33" s="186" t="s">
        <v>88</v>
      </c>
      <c r="F33" s="172"/>
    </row>
    <row r="34" ht="39.75" customHeight="1" spans="1:6">
      <c r="A34" s="164"/>
      <c r="B34" s="165"/>
      <c r="C34" s="176" t="s">
        <v>89</v>
      </c>
      <c r="D34" s="172"/>
      <c r="E34" s="172"/>
      <c r="F34" s="172"/>
    </row>
    <row r="35" ht="39.75" customHeight="1" spans="1:6">
      <c r="A35" s="172"/>
      <c r="B35" s="172"/>
      <c r="C35" s="172"/>
      <c r="D35" s="187" t="s">
        <v>90</v>
      </c>
      <c r="E35" s="172"/>
      <c r="F35" s="172"/>
    </row>
    <row r="36" ht="39.75" customHeight="1" spans="1:6">
      <c r="A36" s="172"/>
      <c r="B36" s="172"/>
      <c r="C36" s="172"/>
      <c r="D36" s="176" t="s">
        <v>91</v>
      </c>
      <c r="E36" s="172"/>
      <c r="F36" s="172"/>
    </row>
    <row r="37" ht="39.75" customHeight="1" spans="1:6">
      <c r="A37" s="172"/>
      <c r="B37" s="172"/>
      <c r="C37" s="172"/>
      <c r="D37" s="172"/>
      <c r="E37" s="188" t="s">
        <v>92</v>
      </c>
      <c r="F37" s="172"/>
    </row>
    <row r="38" ht="54" customHeight="1" spans="1:6">
      <c r="A38" s="172"/>
      <c r="B38" s="172"/>
      <c r="C38" s="172"/>
      <c r="D38" s="172"/>
      <c r="E38" s="166" t="s">
        <v>93</v>
      </c>
      <c r="F38" s="189" t="s">
        <v>94</v>
      </c>
    </row>
    <row r="39" ht="36.75" customHeight="1" spans="1:6">
      <c r="A39" s="172"/>
      <c r="B39" s="172"/>
      <c r="C39" s="172"/>
      <c r="D39" s="172"/>
      <c r="E39" s="166" t="s">
        <v>95</v>
      </c>
      <c r="F39" s="188" t="s">
        <v>96</v>
      </c>
    </row>
    <row r="40" ht="60" customHeight="1" spans="1:6">
      <c r="A40" s="172"/>
      <c r="B40" s="172"/>
      <c r="C40" s="172"/>
      <c r="D40" s="166"/>
      <c r="E40" s="166" t="s">
        <v>97</v>
      </c>
      <c r="F40" s="175" t="s">
        <v>98</v>
      </c>
    </row>
    <row r="41" ht="31.5" customHeight="1" spans="1:6">
      <c r="A41" s="172"/>
      <c r="B41" s="172"/>
      <c r="C41" s="172"/>
      <c r="D41" s="166"/>
      <c r="E41" s="166" t="s">
        <v>99</v>
      </c>
      <c r="F41" s="188" t="s">
        <v>100</v>
      </c>
    </row>
    <row r="42" ht="48" customHeight="1" spans="1:6">
      <c r="A42" s="172"/>
      <c r="B42" s="172"/>
      <c r="C42" s="172"/>
      <c r="D42" s="166"/>
      <c r="E42" s="175" t="s">
        <v>101</v>
      </c>
      <c r="F42" s="186" t="s">
        <v>102</v>
      </c>
    </row>
    <row r="43" ht="42.75" customHeight="1" spans="1:6">
      <c r="A43" s="164"/>
      <c r="B43" s="165"/>
      <c r="C43" s="190"/>
      <c r="D43" s="166"/>
      <c r="E43" s="176" t="s">
        <v>103</v>
      </c>
      <c r="F43" s="188" t="s">
        <v>104</v>
      </c>
    </row>
    <row r="44" ht="48" customHeight="1" spans="1:6">
      <c r="A44" s="164"/>
      <c r="B44" s="165"/>
      <c r="C44" s="190"/>
      <c r="D44" s="166"/>
      <c r="E44" s="173" t="s">
        <v>105</v>
      </c>
      <c r="F44" s="175" t="s">
        <v>106</v>
      </c>
    </row>
    <row r="45" ht="28.5" customHeight="1" spans="1:6">
      <c r="A45" s="164"/>
      <c r="B45" s="165"/>
      <c r="C45" s="166"/>
      <c r="D45" s="166"/>
      <c r="E45" s="166" t="s">
        <v>107</v>
      </c>
      <c r="F45" s="188"/>
    </row>
    <row r="46" ht="39.75" customHeight="1" spans="1:6">
      <c r="A46" s="167">
        <v>8</v>
      </c>
      <c r="B46" s="168" t="s">
        <v>108</v>
      </c>
      <c r="C46" s="169"/>
      <c r="D46" s="169" t="s">
        <v>109</v>
      </c>
      <c r="E46" s="191" t="s">
        <v>110</v>
      </c>
      <c r="F46" s="192" t="s">
        <v>111</v>
      </c>
    </row>
    <row r="47" ht="28.5" customHeight="1" spans="1:6">
      <c r="A47" s="167"/>
      <c r="B47" s="168"/>
      <c r="C47" s="169"/>
      <c r="D47" s="169"/>
      <c r="E47" s="182" t="s">
        <v>112</v>
      </c>
      <c r="F47" s="169" t="s">
        <v>113</v>
      </c>
    </row>
    <row r="48" ht="28.5" customHeight="1" spans="1:6">
      <c r="A48" s="167"/>
      <c r="B48" s="168"/>
      <c r="C48" s="169"/>
      <c r="D48" s="169"/>
      <c r="E48" s="169" t="s">
        <v>114</v>
      </c>
      <c r="F48" s="169" t="s">
        <v>115</v>
      </c>
    </row>
    <row r="49" ht="78" customHeight="1" spans="1:6">
      <c r="A49" s="167"/>
      <c r="B49" s="168"/>
      <c r="C49" s="169"/>
      <c r="D49" s="169"/>
      <c r="E49" s="169" t="s">
        <v>116</v>
      </c>
      <c r="F49" s="169" t="s">
        <v>117</v>
      </c>
    </row>
    <row r="50" ht="54.75" customHeight="1" spans="1:6">
      <c r="A50" s="167"/>
      <c r="B50" s="168"/>
      <c r="C50" s="169"/>
      <c r="D50" s="169"/>
      <c r="E50" s="169" t="s">
        <v>118</v>
      </c>
      <c r="F50" s="169" t="s">
        <v>119</v>
      </c>
    </row>
    <row r="51" ht="48" customHeight="1" spans="1:6">
      <c r="A51" s="164">
        <v>9</v>
      </c>
      <c r="B51" s="165" t="s">
        <v>120</v>
      </c>
      <c r="C51" s="166" t="s">
        <v>121</v>
      </c>
      <c r="D51" s="166" t="s">
        <v>122</v>
      </c>
      <c r="E51" s="166" t="s">
        <v>123</v>
      </c>
      <c r="F51" s="166" t="s">
        <v>124</v>
      </c>
    </row>
    <row r="52" ht="36.75" customHeight="1" spans="1:6">
      <c r="A52" s="164"/>
      <c r="B52" s="165"/>
      <c r="C52" s="166" t="s">
        <v>125</v>
      </c>
      <c r="D52" s="166" t="s">
        <v>126</v>
      </c>
      <c r="E52" s="166" t="s">
        <v>127</v>
      </c>
      <c r="F52" s="166" t="s">
        <v>128</v>
      </c>
    </row>
    <row r="53" ht="39.75" customHeight="1" spans="1:6">
      <c r="A53" s="164"/>
      <c r="B53" s="165"/>
      <c r="C53" s="166" t="s">
        <v>129</v>
      </c>
      <c r="D53" s="166" t="s">
        <v>130</v>
      </c>
      <c r="E53" s="166" t="s">
        <v>131</v>
      </c>
      <c r="F53" s="166" t="s">
        <v>132</v>
      </c>
    </row>
    <row r="54" ht="36" customHeight="1" spans="1:6">
      <c r="A54" s="164"/>
      <c r="B54" s="165"/>
      <c r="C54" s="166"/>
      <c r="D54" s="166"/>
      <c r="E54" s="166" t="s">
        <v>133</v>
      </c>
      <c r="F54" s="166" t="s">
        <v>134</v>
      </c>
    </row>
    <row r="55" ht="48" customHeight="1" spans="1:6">
      <c r="A55" s="164"/>
      <c r="B55" s="165"/>
      <c r="C55" s="166"/>
      <c r="D55" s="166"/>
      <c r="E55" s="166" t="s">
        <v>135</v>
      </c>
      <c r="F55" s="166" t="s">
        <v>136</v>
      </c>
    </row>
    <row r="56" ht="24" customHeight="1" spans="1:6">
      <c r="A56" s="164"/>
      <c r="B56" s="165"/>
      <c r="C56" s="166"/>
      <c r="D56" s="166"/>
      <c r="E56" s="166" t="s">
        <v>137</v>
      </c>
      <c r="F56" s="166" t="s">
        <v>138</v>
      </c>
    </row>
    <row r="57" ht="48" customHeight="1" spans="1:6">
      <c r="A57" s="164"/>
      <c r="B57" s="165"/>
      <c r="C57" s="166"/>
      <c r="D57" s="166"/>
      <c r="E57" s="166" t="s">
        <v>139</v>
      </c>
      <c r="F57" s="166" t="s">
        <v>140</v>
      </c>
    </row>
    <row r="58" ht="36" customHeight="1" spans="1:6">
      <c r="A58" s="164"/>
      <c r="B58" s="165"/>
      <c r="C58" s="166"/>
      <c r="D58" s="166"/>
      <c r="E58" s="166" t="s">
        <v>141</v>
      </c>
      <c r="F58" s="166"/>
    </row>
    <row r="59" ht="36" customHeight="1" spans="1:6">
      <c r="A59" s="167">
        <v>10</v>
      </c>
      <c r="B59" s="168" t="s">
        <v>142</v>
      </c>
      <c r="C59" s="169" t="s">
        <v>143</v>
      </c>
      <c r="D59" s="169" t="s">
        <v>144</v>
      </c>
      <c r="E59" s="169" t="s">
        <v>145</v>
      </c>
      <c r="F59" s="169" t="s">
        <v>146</v>
      </c>
    </row>
    <row r="60" ht="36" customHeight="1" spans="1:6">
      <c r="A60" s="167"/>
      <c r="B60" s="168"/>
      <c r="C60" s="169"/>
      <c r="D60" s="169" t="s">
        <v>147</v>
      </c>
      <c r="E60" s="169" t="s">
        <v>148</v>
      </c>
      <c r="F60" s="169" t="s">
        <v>149</v>
      </c>
    </row>
    <row r="61" ht="36" customHeight="1" spans="1:6">
      <c r="A61" s="167"/>
      <c r="B61" s="168"/>
      <c r="C61" s="169"/>
      <c r="D61" s="169"/>
      <c r="E61" s="169" t="s">
        <v>150</v>
      </c>
      <c r="F61" s="169" t="s">
        <v>151</v>
      </c>
    </row>
    <row r="62" ht="24" customHeight="1" spans="1:6">
      <c r="A62" s="167"/>
      <c r="B62" s="168"/>
      <c r="C62" s="169"/>
      <c r="D62" s="169"/>
      <c r="E62" s="169" t="s">
        <v>152</v>
      </c>
      <c r="F62" s="169" t="s">
        <v>153</v>
      </c>
    </row>
    <row r="63" ht="24" customHeight="1" spans="1:6">
      <c r="A63" s="167"/>
      <c r="B63" s="168"/>
      <c r="C63" s="169"/>
      <c r="D63" s="169"/>
      <c r="E63" s="169" t="s">
        <v>154</v>
      </c>
      <c r="F63" s="169" t="s">
        <v>155</v>
      </c>
    </row>
    <row r="64" ht="60" customHeight="1" spans="1:6">
      <c r="A64" s="167"/>
      <c r="B64" s="168"/>
      <c r="C64" s="169"/>
      <c r="D64" s="169"/>
      <c r="E64" s="169" t="s">
        <v>156</v>
      </c>
      <c r="F64" s="169"/>
    </row>
    <row r="65" ht="36" customHeight="1" spans="1:6">
      <c r="A65" s="167"/>
      <c r="B65" s="168"/>
      <c r="C65" s="169"/>
      <c r="D65" s="169"/>
      <c r="E65" s="169" t="s">
        <v>157</v>
      </c>
      <c r="F65" s="169"/>
    </row>
    <row r="66" ht="24" customHeight="1" spans="1:6">
      <c r="A66" s="167"/>
      <c r="B66" s="168"/>
      <c r="C66" s="169"/>
      <c r="D66" s="169"/>
      <c r="E66" s="169" t="s">
        <v>158</v>
      </c>
      <c r="F66" s="169"/>
    </row>
    <row r="67" ht="24" customHeight="1" spans="1:6">
      <c r="A67" s="167"/>
      <c r="B67" s="168"/>
      <c r="C67" s="169"/>
      <c r="D67" s="169"/>
      <c r="E67" s="169" t="s">
        <v>159</v>
      </c>
      <c r="F67" s="169"/>
    </row>
    <row r="68" ht="24" customHeight="1" spans="1:6">
      <c r="A68" s="167"/>
      <c r="B68" s="168"/>
      <c r="C68" s="169"/>
      <c r="D68" s="169"/>
      <c r="E68" s="169" t="s">
        <v>160</v>
      </c>
      <c r="F68" s="169"/>
    </row>
    <row r="69" ht="24" customHeight="1" spans="1:6">
      <c r="A69" s="167"/>
      <c r="B69" s="168"/>
      <c r="C69" s="169"/>
      <c r="D69" s="169"/>
      <c r="E69" s="179" t="s">
        <v>161</v>
      </c>
      <c r="F69" s="169"/>
    </row>
    <row r="70" ht="24" customHeight="1" spans="1:6">
      <c r="A70" s="167"/>
      <c r="B70" s="168"/>
      <c r="C70" s="169"/>
      <c r="D70" s="169"/>
      <c r="E70" s="169" t="s">
        <v>162</v>
      </c>
      <c r="F70" s="169"/>
    </row>
    <row r="71" ht="36" customHeight="1" spans="1:6">
      <c r="A71" s="164">
        <v>11</v>
      </c>
      <c r="B71" s="193" t="s">
        <v>163</v>
      </c>
      <c r="C71" s="166" t="s">
        <v>164</v>
      </c>
      <c r="D71" s="166" t="s">
        <v>165</v>
      </c>
      <c r="E71" s="166" t="s">
        <v>166</v>
      </c>
      <c r="F71" s="166" t="s">
        <v>167</v>
      </c>
    </row>
    <row r="72" ht="24" customHeight="1" spans="1:6">
      <c r="A72" s="164"/>
      <c r="B72" s="193"/>
      <c r="C72" s="166" t="s">
        <v>168</v>
      </c>
      <c r="D72" s="166"/>
      <c r="E72" s="166" t="s">
        <v>169</v>
      </c>
      <c r="F72" s="166"/>
    </row>
    <row r="73" ht="36" customHeight="1" spans="1:6">
      <c r="A73" s="164"/>
      <c r="B73" s="193"/>
      <c r="C73" s="166" t="s">
        <v>170</v>
      </c>
      <c r="D73" s="166"/>
      <c r="E73" s="166" t="s">
        <v>171</v>
      </c>
      <c r="F73" s="166"/>
    </row>
    <row r="74" ht="24" customHeight="1" spans="1:6">
      <c r="A74" s="164"/>
      <c r="B74" s="193"/>
      <c r="C74" s="166"/>
      <c r="D74" s="166"/>
      <c r="E74" s="166" t="s">
        <v>172</v>
      </c>
      <c r="F74" s="166"/>
    </row>
    <row r="75" ht="72" customHeight="1" spans="1:6">
      <c r="A75" s="164"/>
      <c r="B75" s="193"/>
      <c r="C75" s="166"/>
      <c r="D75" s="166"/>
      <c r="E75" s="166" t="s">
        <v>173</v>
      </c>
      <c r="F75" s="166"/>
    </row>
    <row r="76" ht="24" customHeight="1" spans="1:6">
      <c r="A76" s="164"/>
      <c r="B76" s="193"/>
      <c r="C76" s="166"/>
      <c r="D76" s="166"/>
      <c r="E76" s="166" t="s">
        <v>174</v>
      </c>
      <c r="F76" s="166"/>
    </row>
    <row r="77" ht="24" customHeight="1" spans="1:6">
      <c r="A77" s="164"/>
      <c r="B77" s="193"/>
      <c r="C77" s="166"/>
      <c r="D77" s="166"/>
      <c r="E77" s="166" t="s">
        <v>175</v>
      </c>
      <c r="F77" s="166"/>
    </row>
    <row r="78" ht="48" customHeight="1" spans="1:6">
      <c r="A78" s="167">
        <v>12</v>
      </c>
      <c r="B78" s="194" t="s">
        <v>176</v>
      </c>
      <c r="C78" s="169"/>
      <c r="D78" s="169"/>
      <c r="E78" s="169" t="s">
        <v>177</v>
      </c>
      <c r="F78" s="169" t="s">
        <v>178</v>
      </c>
    </row>
    <row r="79" ht="36" customHeight="1" spans="1:6">
      <c r="A79" s="167"/>
      <c r="B79" s="194"/>
      <c r="C79" s="169"/>
      <c r="D79" s="169"/>
      <c r="E79" s="169" t="s">
        <v>179</v>
      </c>
      <c r="F79" s="169" t="s">
        <v>180</v>
      </c>
    </row>
    <row r="80" ht="36" customHeight="1" spans="1:6">
      <c r="A80" s="164">
        <v>13</v>
      </c>
      <c r="B80" s="165" t="s">
        <v>181</v>
      </c>
      <c r="C80" s="166"/>
      <c r="D80" s="166" t="s">
        <v>182</v>
      </c>
      <c r="E80" s="166" t="s">
        <v>183</v>
      </c>
      <c r="F80" s="166" t="s">
        <v>184</v>
      </c>
    </row>
    <row r="81" ht="36" customHeight="1" spans="1:6">
      <c r="A81" s="164"/>
      <c r="B81" s="165"/>
      <c r="C81" s="166"/>
      <c r="D81" s="166" t="s">
        <v>185</v>
      </c>
      <c r="E81" s="166" t="s">
        <v>186</v>
      </c>
      <c r="F81" s="166" t="s">
        <v>187</v>
      </c>
    </row>
    <row r="82" ht="24" customHeight="1" spans="1:6">
      <c r="A82" s="164"/>
      <c r="B82" s="165"/>
      <c r="C82" s="166"/>
      <c r="D82" s="166" t="s">
        <v>188</v>
      </c>
      <c r="E82" s="166"/>
      <c r="F82" s="177" t="s">
        <v>189</v>
      </c>
    </row>
    <row r="83" ht="36" customHeight="1" spans="1:6">
      <c r="A83" s="167">
        <v>14</v>
      </c>
      <c r="B83" s="195" t="s">
        <v>190</v>
      </c>
      <c r="C83" s="169"/>
      <c r="D83" s="169"/>
      <c r="E83" s="179" t="s">
        <v>191</v>
      </c>
      <c r="F83" s="196"/>
    </row>
    <row r="84" ht="24" customHeight="1" spans="1:6">
      <c r="A84" s="167"/>
      <c r="B84" s="168"/>
      <c r="C84" s="169"/>
      <c r="D84" s="169"/>
      <c r="E84" s="169" t="s">
        <v>192</v>
      </c>
      <c r="F84" s="196"/>
    </row>
    <row r="85" customHeight="1" spans="1:4">
      <c r="A85" s="197"/>
      <c r="B85" s="198"/>
      <c r="C85" s="199"/>
      <c r="D85" s="199"/>
    </row>
  </sheetData>
  <mergeCells count="1">
    <mergeCell ref="A1:F1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B1:T106"/>
  <sheetViews>
    <sheetView zoomScale="70" zoomScaleNormal="70" topLeftCell="B1" workbookViewId="0">
      <pane ySplit="5" topLeftCell="A22" activePane="bottomLeft" state="frozen"/>
      <selection/>
      <selection pane="bottomLeft" activeCell="G26" sqref="G26"/>
    </sheetView>
  </sheetViews>
  <sheetFormatPr defaultColWidth="8.88888888888889" defaultRowHeight="15.6"/>
  <cols>
    <col min="1" max="1" width="8.88888888888889" style="3"/>
    <col min="2" max="2" width="44.2222222222222" style="121" customWidth="1"/>
    <col min="3" max="3" width="65.4444444444444" style="3" customWidth="1"/>
    <col min="4" max="4" width="23.2222222222222" style="4" customWidth="1"/>
    <col min="5" max="7" width="12.8888888888889" style="4" customWidth="1"/>
    <col min="8" max="8" width="81.1111111111111" style="5" customWidth="1"/>
    <col min="9" max="9" width="31.2222222222222" style="3" customWidth="1"/>
    <col min="10" max="10" width="20.7777777777778" style="146" customWidth="1"/>
    <col min="11" max="11" width="72.7777777777778" style="146" customWidth="1"/>
    <col min="12" max="12" width="18.1111111111111" style="146" customWidth="1"/>
    <col min="13" max="15" width="16.3333333333333" style="146" customWidth="1"/>
    <col min="16" max="20" width="8.88888888888889" style="146"/>
    <col min="21" max="16384" width="8.88888888888889" style="3"/>
  </cols>
  <sheetData>
    <row r="1" ht="15" customHeight="1" spans="2:7">
      <c r="B1" s="3"/>
      <c r="F1" s="54"/>
      <c r="G1" s="54"/>
    </row>
    <row r="2" ht="15" customHeight="1" spans="2:12">
      <c r="B2" s="7"/>
      <c r="C2" s="7"/>
      <c r="D2" s="7"/>
      <c r="E2" s="7"/>
      <c r="F2" s="7"/>
      <c r="G2" s="7"/>
      <c r="H2" s="7"/>
      <c r="L2" s="146" t="s">
        <v>9</v>
      </c>
    </row>
    <row r="3" ht="24.75" customHeight="1" spans="2:19">
      <c r="B3" s="8" t="s">
        <v>193</v>
      </c>
      <c r="C3" s="8"/>
      <c r="D3" s="8"/>
      <c r="E3" s="8"/>
      <c r="F3" s="8"/>
      <c r="G3" s="8"/>
      <c r="H3" s="8"/>
      <c r="J3" s="150" t="s">
        <v>193</v>
      </c>
      <c r="K3" s="150"/>
      <c r="L3" s="150"/>
      <c r="M3" s="150"/>
      <c r="N3" s="150"/>
      <c r="O3" s="150"/>
      <c r="P3" s="3"/>
      <c r="Q3" s="3"/>
      <c r="R3" s="3"/>
      <c r="S3" s="3"/>
    </row>
    <row r="4" ht="27.75" customHeight="1" spans="2:19">
      <c r="B4" s="123"/>
      <c r="C4" s="10" t="s">
        <v>194</v>
      </c>
      <c r="D4" s="10" t="s">
        <v>195</v>
      </c>
      <c r="E4" s="39" t="s">
        <v>196</v>
      </c>
      <c r="F4" s="40" t="s">
        <v>197</v>
      </c>
      <c r="G4" s="39" t="s">
        <v>198</v>
      </c>
      <c r="H4" s="10" t="s">
        <v>199</v>
      </c>
      <c r="J4" s="123"/>
      <c r="K4" s="10" t="s">
        <v>194</v>
      </c>
      <c r="L4" s="10"/>
      <c r="M4" s="39"/>
      <c r="N4" s="39"/>
      <c r="O4" s="39"/>
      <c r="P4" s="3"/>
      <c r="Q4" s="3"/>
      <c r="R4" s="3"/>
      <c r="S4" s="3"/>
    </row>
    <row r="5" s="1" customFormat="1" ht="30.75" customHeight="1" spans="2:20">
      <c r="B5" s="45"/>
      <c r="C5" s="14" t="s">
        <v>200</v>
      </c>
      <c r="D5" s="14"/>
      <c r="E5" s="30"/>
      <c r="F5" s="30"/>
      <c r="G5" s="30"/>
      <c r="H5" s="124"/>
      <c r="J5" s="45"/>
      <c r="K5" s="14" t="s">
        <v>200</v>
      </c>
      <c r="L5" s="14" t="s">
        <v>201</v>
      </c>
      <c r="M5" s="30" t="s">
        <v>202</v>
      </c>
      <c r="N5" s="17" t="s">
        <v>203</v>
      </c>
      <c r="O5" s="17" t="s">
        <v>204</v>
      </c>
      <c r="Q5" s="31" t="s">
        <v>205</v>
      </c>
      <c r="R5" s="19" t="s">
        <v>4</v>
      </c>
      <c r="S5" s="19"/>
      <c r="T5" s="153"/>
    </row>
    <row r="6" s="1" customFormat="1" ht="63.75" customHeight="1" spans="2:20">
      <c r="B6" s="127" t="s">
        <v>206</v>
      </c>
      <c r="C6" s="20" t="s">
        <v>207</v>
      </c>
      <c r="D6" s="19" t="s">
        <v>9</v>
      </c>
      <c r="E6" s="19">
        <v>20</v>
      </c>
      <c r="F6" s="21">
        <v>0</v>
      </c>
      <c r="G6" s="19">
        <v>20</v>
      </c>
      <c r="H6" s="126" t="s">
        <v>208</v>
      </c>
      <c r="J6" s="127" t="s">
        <v>206</v>
      </c>
      <c r="K6" s="20" t="s">
        <v>207</v>
      </c>
      <c r="L6" s="95" t="s">
        <v>205</v>
      </c>
      <c r="M6" s="149" t="s">
        <v>209</v>
      </c>
      <c r="N6" s="149" t="s">
        <v>210</v>
      </c>
      <c r="O6" s="149" t="s">
        <v>211</v>
      </c>
      <c r="Q6" s="33" t="s">
        <v>209</v>
      </c>
      <c r="R6" s="19" t="s">
        <v>212</v>
      </c>
      <c r="S6" s="19"/>
      <c r="T6" s="153"/>
    </row>
    <row r="7" s="2" customFormat="1" ht="51" customHeight="1" spans="2:20">
      <c r="B7" s="125" t="s">
        <v>213</v>
      </c>
      <c r="C7" s="63" t="s">
        <v>214</v>
      </c>
      <c r="D7" s="19" t="s">
        <v>9</v>
      </c>
      <c r="E7" s="19">
        <v>20</v>
      </c>
      <c r="F7" s="21">
        <v>20</v>
      </c>
      <c r="G7" s="19">
        <v>20</v>
      </c>
      <c r="H7" s="72"/>
      <c r="J7" s="125" t="s">
        <v>213</v>
      </c>
      <c r="K7" s="63" t="s">
        <v>214</v>
      </c>
      <c r="L7" s="95" t="s">
        <v>205</v>
      </c>
      <c r="M7" s="149" t="s">
        <v>209</v>
      </c>
      <c r="N7" s="149" t="s">
        <v>210</v>
      </c>
      <c r="O7" s="149" t="s">
        <v>211</v>
      </c>
      <c r="Q7" s="14" t="s">
        <v>210</v>
      </c>
      <c r="R7" s="19" t="s">
        <v>215</v>
      </c>
      <c r="S7" s="19"/>
      <c r="T7" s="142"/>
    </row>
    <row r="8" s="2" customFormat="1" ht="51" customHeight="1" spans="2:20">
      <c r="B8" s="125"/>
      <c r="C8" s="147" t="s">
        <v>57</v>
      </c>
      <c r="D8" s="19" t="s">
        <v>9</v>
      </c>
      <c r="E8" s="19">
        <v>10</v>
      </c>
      <c r="F8" s="21">
        <v>10</v>
      </c>
      <c r="G8" s="19">
        <v>10</v>
      </c>
      <c r="H8" s="72"/>
      <c r="J8" s="125"/>
      <c r="K8" s="147" t="s">
        <v>57</v>
      </c>
      <c r="L8" s="95" t="s">
        <v>205</v>
      </c>
      <c r="M8" s="149" t="s">
        <v>209</v>
      </c>
      <c r="N8" s="149" t="s">
        <v>210</v>
      </c>
      <c r="O8" s="149" t="s">
        <v>211</v>
      </c>
      <c r="Q8" s="10" t="s">
        <v>211</v>
      </c>
      <c r="R8" s="19" t="s">
        <v>216</v>
      </c>
      <c r="S8" s="19"/>
      <c r="T8" s="142"/>
    </row>
    <row r="9" s="2" customFormat="1" ht="51" customHeight="1" spans="2:20">
      <c r="B9" s="125" t="s">
        <v>217</v>
      </c>
      <c r="C9" s="128" t="s">
        <v>218</v>
      </c>
      <c r="D9" s="19" t="s">
        <v>9</v>
      </c>
      <c r="E9" s="19">
        <v>5</v>
      </c>
      <c r="F9" s="21">
        <v>5</v>
      </c>
      <c r="G9" s="19">
        <v>5</v>
      </c>
      <c r="H9" s="72"/>
      <c r="J9" s="125" t="s">
        <v>217</v>
      </c>
      <c r="K9" s="128" t="s">
        <v>218</v>
      </c>
      <c r="L9" s="95" t="s">
        <v>205</v>
      </c>
      <c r="M9" s="149" t="s">
        <v>209</v>
      </c>
      <c r="N9" s="149" t="s">
        <v>210</v>
      </c>
      <c r="O9" s="149" t="s">
        <v>211</v>
      </c>
      <c r="T9" s="142"/>
    </row>
    <row r="10" s="2" customFormat="1" ht="51" customHeight="1" spans="2:20">
      <c r="B10" s="127" t="s">
        <v>219</v>
      </c>
      <c r="C10" s="128" t="s">
        <v>220</v>
      </c>
      <c r="D10" s="19" t="s">
        <v>9</v>
      </c>
      <c r="E10" s="19">
        <v>15</v>
      </c>
      <c r="F10" s="21">
        <v>15</v>
      </c>
      <c r="G10" s="19">
        <v>15</v>
      </c>
      <c r="H10" s="72"/>
      <c r="J10" s="127" t="s">
        <v>219</v>
      </c>
      <c r="K10" s="128" t="s">
        <v>220</v>
      </c>
      <c r="L10" s="95" t="s">
        <v>205</v>
      </c>
      <c r="M10" s="149" t="s">
        <v>209</v>
      </c>
      <c r="N10" s="149" t="s">
        <v>210</v>
      </c>
      <c r="O10" s="149" t="s">
        <v>211</v>
      </c>
      <c r="T10" s="142"/>
    </row>
    <row r="11" s="2" customFormat="1" ht="51" customHeight="1" spans="2:20">
      <c r="B11" s="127"/>
      <c r="C11" s="128" t="s">
        <v>221</v>
      </c>
      <c r="D11" s="19" t="s">
        <v>9</v>
      </c>
      <c r="E11" s="19">
        <v>10</v>
      </c>
      <c r="F11" s="21">
        <v>10</v>
      </c>
      <c r="G11" s="19">
        <v>10</v>
      </c>
      <c r="H11" s="72"/>
      <c r="J11" s="127"/>
      <c r="K11" s="128" t="s">
        <v>221</v>
      </c>
      <c r="L11" s="95" t="s">
        <v>205</v>
      </c>
      <c r="M11" s="149" t="s">
        <v>209</v>
      </c>
      <c r="N11" s="149" t="s">
        <v>210</v>
      </c>
      <c r="O11" s="149" t="s">
        <v>211</v>
      </c>
      <c r="T11" s="142"/>
    </row>
    <row r="12" s="2" customFormat="1" ht="51" customHeight="1" spans="2:20">
      <c r="B12" s="127" t="s">
        <v>222</v>
      </c>
      <c r="C12" s="147" t="s">
        <v>223</v>
      </c>
      <c r="D12" s="19" t="s">
        <v>9</v>
      </c>
      <c r="E12" s="19">
        <v>20</v>
      </c>
      <c r="F12" s="21">
        <v>20</v>
      </c>
      <c r="G12" s="19">
        <v>20</v>
      </c>
      <c r="H12" s="72"/>
      <c r="J12" s="127" t="s">
        <v>222</v>
      </c>
      <c r="K12" s="147" t="s">
        <v>223</v>
      </c>
      <c r="L12" s="95" t="s">
        <v>205</v>
      </c>
      <c r="M12" s="149" t="s">
        <v>209</v>
      </c>
      <c r="N12" s="149" t="s">
        <v>210</v>
      </c>
      <c r="O12" s="149" t="s">
        <v>211</v>
      </c>
      <c r="T12" s="142"/>
    </row>
    <row r="13" s="2" customFormat="1" ht="51" customHeight="1" spans="2:20">
      <c r="B13" s="127"/>
      <c r="C13" s="147" t="s">
        <v>224</v>
      </c>
      <c r="D13" s="19" t="s">
        <v>9</v>
      </c>
      <c r="E13" s="19">
        <v>15</v>
      </c>
      <c r="F13" s="21">
        <v>15</v>
      </c>
      <c r="G13" s="19">
        <v>15</v>
      </c>
      <c r="H13" s="48"/>
      <c r="J13" s="127"/>
      <c r="K13" s="147" t="s">
        <v>224</v>
      </c>
      <c r="L13" s="95" t="s">
        <v>205</v>
      </c>
      <c r="M13" s="149" t="s">
        <v>209</v>
      </c>
      <c r="N13" s="149" t="s">
        <v>210</v>
      </c>
      <c r="O13" s="149" t="s">
        <v>211</v>
      </c>
      <c r="T13" s="142"/>
    </row>
    <row r="14" s="2" customFormat="1" ht="51" customHeight="1" spans="2:20">
      <c r="B14" s="127"/>
      <c r="C14" s="147" t="s">
        <v>225</v>
      </c>
      <c r="D14" s="19" t="s">
        <v>9</v>
      </c>
      <c r="E14" s="19">
        <v>5</v>
      </c>
      <c r="F14" s="21">
        <v>0</v>
      </c>
      <c r="G14" s="19">
        <v>0</v>
      </c>
      <c r="H14" s="72" t="s">
        <v>226</v>
      </c>
      <c r="J14" s="127"/>
      <c r="K14" s="147" t="s">
        <v>225</v>
      </c>
      <c r="L14" s="95" t="s">
        <v>205</v>
      </c>
      <c r="M14" s="149" t="s">
        <v>209</v>
      </c>
      <c r="N14" s="149" t="s">
        <v>210</v>
      </c>
      <c r="O14" s="149" t="s">
        <v>211</v>
      </c>
      <c r="T14" s="142"/>
    </row>
    <row r="15" s="2" customFormat="1" ht="51" customHeight="1" spans="2:20">
      <c r="B15" s="127"/>
      <c r="C15" s="147" t="s">
        <v>227</v>
      </c>
      <c r="D15" s="19" t="s">
        <v>9</v>
      </c>
      <c r="E15" s="19">
        <v>20</v>
      </c>
      <c r="F15" s="21">
        <v>0</v>
      </c>
      <c r="G15" s="19">
        <v>0</v>
      </c>
      <c r="H15" s="72" t="s">
        <v>228</v>
      </c>
      <c r="J15" s="127"/>
      <c r="K15" s="147" t="s">
        <v>227</v>
      </c>
      <c r="L15" s="95" t="s">
        <v>205</v>
      </c>
      <c r="M15" s="149" t="s">
        <v>209</v>
      </c>
      <c r="N15" s="149" t="s">
        <v>210</v>
      </c>
      <c r="O15" s="149" t="s">
        <v>211</v>
      </c>
      <c r="T15" s="142"/>
    </row>
    <row r="16" s="2" customFormat="1" ht="51" customHeight="1" spans="2:20">
      <c r="B16" s="127"/>
      <c r="C16" s="147" t="s">
        <v>229</v>
      </c>
      <c r="D16" s="19" t="s">
        <v>9</v>
      </c>
      <c r="E16" s="19">
        <v>20</v>
      </c>
      <c r="F16" s="21">
        <v>20</v>
      </c>
      <c r="G16" s="19">
        <v>20</v>
      </c>
      <c r="H16" s="72"/>
      <c r="J16" s="127"/>
      <c r="K16" s="147"/>
      <c r="L16" s="95"/>
      <c r="M16" s="149"/>
      <c r="N16" s="149"/>
      <c r="O16" s="149"/>
      <c r="T16" s="142"/>
    </row>
    <row r="17" s="2" customFormat="1" ht="51" customHeight="1" spans="2:20">
      <c r="B17" s="127"/>
      <c r="C17" s="147" t="s">
        <v>230</v>
      </c>
      <c r="D17" s="19" t="s">
        <v>9</v>
      </c>
      <c r="E17" s="19">
        <v>10</v>
      </c>
      <c r="F17" s="21">
        <v>10</v>
      </c>
      <c r="G17" s="19">
        <v>10</v>
      </c>
      <c r="H17" s="72"/>
      <c r="J17" s="127"/>
      <c r="K17" s="147" t="s">
        <v>230</v>
      </c>
      <c r="L17" s="95" t="s">
        <v>205</v>
      </c>
      <c r="M17" s="149" t="s">
        <v>209</v>
      </c>
      <c r="N17" s="149" t="s">
        <v>210</v>
      </c>
      <c r="O17" s="149" t="s">
        <v>211</v>
      </c>
      <c r="T17" s="142"/>
    </row>
    <row r="18" s="2" customFormat="1" ht="51" customHeight="1" spans="2:20">
      <c r="B18" s="127" t="s">
        <v>231</v>
      </c>
      <c r="C18" s="128" t="s">
        <v>232</v>
      </c>
      <c r="D18" s="19" t="s">
        <v>9</v>
      </c>
      <c r="E18" s="19">
        <v>20</v>
      </c>
      <c r="F18" s="21">
        <v>0</v>
      </c>
      <c r="G18" s="19">
        <v>20</v>
      </c>
      <c r="H18" s="48" t="s">
        <v>233</v>
      </c>
      <c r="J18" s="127" t="s">
        <v>234</v>
      </c>
      <c r="K18" s="128" t="s">
        <v>232</v>
      </c>
      <c r="L18" s="95" t="s">
        <v>205</v>
      </c>
      <c r="M18" s="149" t="s">
        <v>209</v>
      </c>
      <c r="N18" s="149" t="s">
        <v>210</v>
      </c>
      <c r="O18" s="149" t="s">
        <v>211</v>
      </c>
      <c r="T18" s="142"/>
    </row>
    <row r="19" s="2" customFormat="1" ht="51" customHeight="1" spans="2:20">
      <c r="B19" s="127"/>
      <c r="C19" s="128" t="s">
        <v>235</v>
      </c>
      <c r="D19" s="19" t="s">
        <v>9</v>
      </c>
      <c r="E19" s="19">
        <v>20</v>
      </c>
      <c r="F19" s="19">
        <v>0</v>
      </c>
      <c r="G19" s="19">
        <v>0</v>
      </c>
      <c r="H19" s="48" t="s">
        <v>236</v>
      </c>
      <c r="J19" s="127"/>
      <c r="K19" s="128" t="s">
        <v>235</v>
      </c>
      <c r="L19" s="95" t="s">
        <v>205</v>
      </c>
      <c r="M19" s="149" t="s">
        <v>209</v>
      </c>
      <c r="N19" s="149" t="s">
        <v>210</v>
      </c>
      <c r="O19" s="149" t="s">
        <v>211</v>
      </c>
      <c r="T19" s="142"/>
    </row>
    <row r="20" s="2" customFormat="1" ht="51" customHeight="1" spans="2:20">
      <c r="B20" s="127"/>
      <c r="C20" s="128" t="s">
        <v>237</v>
      </c>
      <c r="D20" s="19" t="s">
        <v>9</v>
      </c>
      <c r="E20" s="19">
        <v>15</v>
      </c>
      <c r="F20" s="21">
        <v>0</v>
      </c>
      <c r="G20" s="19">
        <v>0</v>
      </c>
      <c r="H20" s="48" t="s">
        <v>238</v>
      </c>
      <c r="J20" s="127"/>
      <c r="K20" s="128" t="s">
        <v>237</v>
      </c>
      <c r="L20" s="95" t="s">
        <v>205</v>
      </c>
      <c r="M20" s="149" t="s">
        <v>209</v>
      </c>
      <c r="N20" s="149" t="s">
        <v>210</v>
      </c>
      <c r="O20" s="149" t="s">
        <v>211</v>
      </c>
      <c r="T20" s="142"/>
    </row>
    <row r="21" s="2" customFormat="1" ht="51" customHeight="1" spans="2:20">
      <c r="B21" s="127"/>
      <c r="C21" s="128" t="s">
        <v>239</v>
      </c>
      <c r="D21" s="19" t="s">
        <v>9</v>
      </c>
      <c r="E21" s="19">
        <v>5</v>
      </c>
      <c r="F21" s="21">
        <v>0</v>
      </c>
      <c r="G21" s="19">
        <v>0</v>
      </c>
      <c r="H21" s="72" t="s">
        <v>240</v>
      </c>
      <c r="J21" s="127"/>
      <c r="K21" s="128" t="s">
        <v>239</v>
      </c>
      <c r="L21" s="95" t="s">
        <v>205</v>
      </c>
      <c r="M21" s="149" t="s">
        <v>209</v>
      </c>
      <c r="N21" s="149" t="s">
        <v>210</v>
      </c>
      <c r="O21" s="149" t="s">
        <v>211</v>
      </c>
      <c r="T21" s="142"/>
    </row>
    <row r="22" s="2" customFormat="1" ht="51" customHeight="1" spans="2:20">
      <c r="B22" s="127"/>
      <c r="C22" s="128" t="s">
        <v>241</v>
      </c>
      <c r="D22" s="19" t="s">
        <v>9</v>
      </c>
      <c r="E22" s="19">
        <v>20</v>
      </c>
      <c r="F22" s="21">
        <v>20</v>
      </c>
      <c r="G22" s="19">
        <v>20</v>
      </c>
      <c r="H22" s="72"/>
      <c r="J22" s="127"/>
      <c r="K22" s="128" t="s">
        <v>242</v>
      </c>
      <c r="L22" s="95" t="s">
        <v>205</v>
      </c>
      <c r="M22" s="149" t="s">
        <v>209</v>
      </c>
      <c r="N22" s="149" t="s">
        <v>210</v>
      </c>
      <c r="O22" s="149" t="s">
        <v>211</v>
      </c>
      <c r="T22" s="142"/>
    </row>
    <row r="23" s="2" customFormat="1" ht="51" customHeight="1" spans="2:20">
      <c r="B23" s="127"/>
      <c r="C23" s="128" t="s">
        <v>243</v>
      </c>
      <c r="D23" s="19" t="s">
        <v>9</v>
      </c>
      <c r="E23" s="19">
        <v>10</v>
      </c>
      <c r="F23" s="21">
        <v>0</v>
      </c>
      <c r="G23" s="19">
        <v>0</v>
      </c>
      <c r="H23" s="48" t="s">
        <v>244</v>
      </c>
      <c r="J23" s="127"/>
      <c r="K23" s="128" t="s">
        <v>243</v>
      </c>
      <c r="L23" s="95" t="s">
        <v>205</v>
      </c>
      <c r="M23" s="149" t="s">
        <v>209</v>
      </c>
      <c r="N23" s="149" t="s">
        <v>210</v>
      </c>
      <c r="O23" s="149" t="s">
        <v>211</v>
      </c>
      <c r="T23" s="142"/>
    </row>
    <row r="24" s="2" customFormat="1" ht="51" customHeight="1" spans="2:20">
      <c r="B24" s="127"/>
      <c r="C24" s="128" t="s">
        <v>245</v>
      </c>
      <c r="D24" s="19" t="s">
        <v>9</v>
      </c>
      <c r="E24" s="19">
        <v>5</v>
      </c>
      <c r="F24" s="21">
        <v>0</v>
      </c>
      <c r="G24" s="19">
        <v>5</v>
      </c>
      <c r="H24" s="72" t="s">
        <v>246</v>
      </c>
      <c r="J24" s="127"/>
      <c r="K24" s="128" t="s">
        <v>245</v>
      </c>
      <c r="L24" s="95" t="s">
        <v>205</v>
      </c>
      <c r="M24" s="149" t="s">
        <v>209</v>
      </c>
      <c r="N24" s="149" t="s">
        <v>210</v>
      </c>
      <c r="O24" s="149" t="s">
        <v>211</v>
      </c>
      <c r="T24" s="142"/>
    </row>
    <row r="25" s="2" customFormat="1" ht="51" customHeight="1" spans="2:20">
      <c r="B25" s="127"/>
      <c r="C25" s="128" t="s">
        <v>247</v>
      </c>
      <c r="D25" s="19" t="s">
        <v>9</v>
      </c>
      <c r="E25" s="19">
        <v>10</v>
      </c>
      <c r="F25" s="21">
        <v>0</v>
      </c>
      <c r="G25" s="19">
        <v>0</v>
      </c>
      <c r="H25" s="48" t="s">
        <v>248</v>
      </c>
      <c r="J25" s="127"/>
      <c r="K25" s="128" t="s">
        <v>247</v>
      </c>
      <c r="L25" s="95" t="s">
        <v>205</v>
      </c>
      <c r="M25" s="149" t="s">
        <v>209</v>
      </c>
      <c r="N25" s="149" t="s">
        <v>210</v>
      </c>
      <c r="O25" s="149" t="s">
        <v>211</v>
      </c>
      <c r="T25" s="142"/>
    </row>
    <row r="26" s="2" customFormat="1" ht="51" customHeight="1" spans="2:20">
      <c r="B26" s="127"/>
      <c r="C26" s="128" t="s">
        <v>249</v>
      </c>
      <c r="D26" s="19" t="s">
        <v>9</v>
      </c>
      <c r="E26" s="19">
        <v>10</v>
      </c>
      <c r="F26" s="21">
        <v>0</v>
      </c>
      <c r="G26" s="19">
        <v>0</v>
      </c>
      <c r="H26" s="72" t="s">
        <v>250</v>
      </c>
      <c r="J26" s="127"/>
      <c r="K26" s="128" t="s">
        <v>249</v>
      </c>
      <c r="L26" s="95" t="s">
        <v>205</v>
      </c>
      <c r="M26" s="149" t="s">
        <v>209</v>
      </c>
      <c r="N26" s="149" t="s">
        <v>210</v>
      </c>
      <c r="O26" s="149" t="s">
        <v>211</v>
      </c>
      <c r="T26" s="142"/>
    </row>
    <row r="27" s="2" customFormat="1" ht="51" customHeight="1" spans="2:20">
      <c r="B27" s="127"/>
      <c r="C27" s="128" t="s">
        <v>251</v>
      </c>
      <c r="D27" s="19" t="s">
        <v>9</v>
      </c>
      <c r="E27" s="19">
        <v>10</v>
      </c>
      <c r="F27" s="21">
        <v>10</v>
      </c>
      <c r="G27" s="19">
        <v>10</v>
      </c>
      <c r="H27" s="72"/>
      <c r="J27" s="127"/>
      <c r="K27" s="128" t="s">
        <v>251</v>
      </c>
      <c r="L27" s="95" t="s">
        <v>205</v>
      </c>
      <c r="M27" s="149" t="s">
        <v>209</v>
      </c>
      <c r="N27" s="149" t="s">
        <v>210</v>
      </c>
      <c r="O27" s="149" t="s">
        <v>211</v>
      </c>
      <c r="T27" s="142"/>
    </row>
    <row r="28" s="2" customFormat="1" ht="51" customHeight="1" spans="2:20">
      <c r="B28" s="127" t="s">
        <v>252</v>
      </c>
      <c r="C28" s="20" t="s">
        <v>253</v>
      </c>
      <c r="D28" s="19" t="s">
        <v>9</v>
      </c>
      <c r="E28" s="19">
        <v>10</v>
      </c>
      <c r="F28" s="21">
        <v>10</v>
      </c>
      <c r="G28" s="19">
        <v>10</v>
      </c>
      <c r="H28" s="72"/>
      <c r="J28" s="127" t="s">
        <v>252</v>
      </c>
      <c r="K28" s="20" t="s">
        <v>253</v>
      </c>
      <c r="L28" s="95" t="s">
        <v>205</v>
      </c>
      <c r="M28" s="149" t="s">
        <v>209</v>
      </c>
      <c r="N28" s="149" t="s">
        <v>210</v>
      </c>
      <c r="O28" s="149" t="s">
        <v>211</v>
      </c>
      <c r="T28" s="142"/>
    </row>
    <row r="29" s="2" customFormat="1" ht="51" customHeight="1" spans="2:20">
      <c r="B29" s="127"/>
      <c r="C29" s="20" t="s">
        <v>254</v>
      </c>
      <c r="D29" s="19" t="s">
        <v>9</v>
      </c>
      <c r="E29" s="19">
        <v>5</v>
      </c>
      <c r="F29" s="21">
        <v>5</v>
      </c>
      <c r="G29" s="19">
        <v>5</v>
      </c>
      <c r="H29" s="72"/>
      <c r="J29" s="127"/>
      <c r="K29" s="20" t="s">
        <v>254</v>
      </c>
      <c r="L29" s="95" t="s">
        <v>205</v>
      </c>
      <c r="M29" s="149" t="s">
        <v>209</v>
      </c>
      <c r="N29" s="149" t="s">
        <v>210</v>
      </c>
      <c r="O29" s="149" t="s">
        <v>211</v>
      </c>
      <c r="T29" s="142"/>
    </row>
    <row r="30" s="2" customFormat="1" ht="51" customHeight="1" spans="2:20">
      <c r="B30" s="127"/>
      <c r="C30" s="20" t="s">
        <v>255</v>
      </c>
      <c r="D30" s="19" t="s">
        <v>9</v>
      </c>
      <c r="E30" s="19">
        <v>15</v>
      </c>
      <c r="F30" s="19">
        <v>15</v>
      </c>
      <c r="G30" s="19">
        <v>15</v>
      </c>
      <c r="H30" s="48"/>
      <c r="J30" s="127"/>
      <c r="K30" s="20" t="s">
        <v>255</v>
      </c>
      <c r="L30" s="95" t="s">
        <v>205</v>
      </c>
      <c r="M30" s="149" t="s">
        <v>209</v>
      </c>
      <c r="N30" s="149" t="s">
        <v>210</v>
      </c>
      <c r="O30" s="149" t="s">
        <v>211</v>
      </c>
      <c r="T30" s="142"/>
    </row>
    <row r="31" s="2" customFormat="1" ht="51" customHeight="1" spans="2:20">
      <c r="B31" s="127"/>
      <c r="C31" s="20" t="s">
        <v>170</v>
      </c>
      <c r="D31" s="19" t="s">
        <v>9</v>
      </c>
      <c r="E31" s="19">
        <v>20</v>
      </c>
      <c r="F31" s="21">
        <v>0</v>
      </c>
      <c r="G31" s="19">
        <v>0</v>
      </c>
      <c r="H31" s="48" t="s">
        <v>256</v>
      </c>
      <c r="J31" s="127"/>
      <c r="K31" s="20" t="s">
        <v>170</v>
      </c>
      <c r="L31" s="95" t="s">
        <v>205</v>
      </c>
      <c r="M31" s="149" t="s">
        <v>209</v>
      </c>
      <c r="N31" s="149" t="s">
        <v>210</v>
      </c>
      <c r="O31" s="149" t="s">
        <v>211</v>
      </c>
      <c r="T31" s="142"/>
    </row>
    <row r="32" s="2" customFormat="1" ht="51" customHeight="1" spans="2:20">
      <c r="B32" s="148" t="s">
        <v>257</v>
      </c>
      <c r="C32" s="24" t="s">
        <v>258</v>
      </c>
      <c r="D32" s="19" t="s">
        <v>9</v>
      </c>
      <c r="E32" s="19">
        <v>20</v>
      </c>
      <c r="F32" s="21">
        <v>0</v>
      </c>
      <c r="G32" s="19">
        <v>0</v>
      </c>
      <c r="H32" s="72" t="s">
        <v>259</v>
      </c>
      <c r="J32" s="127" t="s">
        <v>257</v>
      </c>
      <c r="K32" s="24" t="s">
        <v>258</v>
      </c>
      <c r="L32" s="95" t="s">
        <v>205</v>
      </c>
      <c r="M32" s="149" t="s">
        <v>209</v>
      </c>
      <c r="N32" s="149" t="s">
        <v>210</v>
      </c>
      <c r="O32" s="149" t="s">
        <v>211</v>
      </c>
      <c r="T32" s="142"/>
    </row>
    <row r="33" s="2" customFormat="1" ht="51" customHeight="1" spans="2:20">
      <c r="B33" s="130" t="s">
        <v>181</v>
      </c>
      <c r="C33" s="20" t="s">
        <v>260</v>
      </c>
      <c r="D33" s="19" t="s">
        <v>9</v>
      </c>
      <c r="E33" s="19">
        <v>15</v>
      </c>
      <c r="F33" s="21">
        <v>15</v>
      </c>
      <c r="G33" s="19">
        <v>15</v>
      </c>
      <c r="H33" s="72"/>
      <c r="J33" s="130" t="s">
        <v>181</v>
      </c>
      <c r="K33" s="20" t="s">
        <v>260</v>
      </c>
      <c r="L33" s="95" t="s">
        <v>205</v>
      </c>
      <c r="M33" s="149" t="s">
        <v>209</v>
      </c>
      <c r="N33" s="149" t="s">
        <v>210</v>
      </c>
      <c r="O33" s="149" t="s">
        <v>211</v>
      </c>
      <c r="T33" s="142"/>
    </row>
    <row r="34" s="2" customFormat="1" ht="51" customHeight="1" spans="2:20">
      <c r="B34" s="130" t="s">
        <v>261</v>
      </c>
      <c r="C34" s="20" t="s">
        <v>262</v>
      </c>
      <c r="D34" s="19" t="s">
        <v>9</v>
      </c>
      <c r="E34" s="19">
        <v>20</v>
      </c>
      <c r="F34" s="21">
        <v>20</v>
      </c>
      <c r="G34" s="19">
        <v>20</v>
      </c>
      <c r="H34" s="72"/>
      <c r="J34" s="130" t="s">
        <v>261</v>
      </c>
      <c r="K34" s="20" t="s">
        <v>262</v>
      </c>
      <c r="L34" s="95" t="s">
        <v>205</v>
      </c>
      <c r="M34" s="149" t="s">
        <v>209</v>
      </c>
      <c r="N34" s="149" t="s">
        <v>210</v>
      </c>
      <c r="O34" s="149" t="s">
        <v>211</v>
      </c>
      <c r="T34" s="142"/>
    </row>
    <row r="35" s="2" customFormat="1" ht="51" customHeight="1" spans="2:20">
      <c r="B35" s="130"/>
      <c r="C35" s="23" t="s">
        <v>263</v>
      </c>
      <c r="D35" s="19" t="s">
        <v>9</v>
      </c>
      <c r="E35" s="19">
        <v>15</v>
      </c>
      <c r="F35" s="21">
        <v>15</v>
      </c>
      <c r="G35" s="19">
        <v>15</v>
      </c>
      <c r="H35" s="72"/>
      <c r="J35" s="130"/>
      <c r="K35" s="23" t="s">
        <v>263</v>
      </c>
      <c r="L35" s="95" t="s">
        <v>205</v>
      </c>
      <c r="M35" s="149" t="s">
        <v>209</v>
      </c>
      <c r="N35" s="149" t="s">
        <v>210</v>
      </c>
      <c r="O35" s="149" t="s">
        <v>211</v>
      </c>
      <c r="T35" s="142"/>
    </row>
    <row r="36" s="2" customFormat="1" ht="51" customHeight="1" spans="2:20">
      <c r="B36" s="130"/>
      <c r="C36" s="20" t="s">
        <v>264</v>
      </c>
      <c r="D36" s="19" t="s">
        <v>9</v>
      </c>
      <c r="E36" s="19">
        <v>10</v>
      </c>
      <c r="F36" s="21">
        <v>10</v>
      </c>
      <c r="G36" s="19">
        <v>10</v>
      </c>
      <c r="H36" s="48"/>
      <c r="J36" s="130"/>
      <c r="K36" s="20" t="s">
        <v>264</v>
      </c>
      <c r="L36" s="95" t="s">
        <v>205</v>
      </c>
      <c r="M36" s="149" t="s">
        <v>209</v>
      </c>
      <c r="N36" s="149" t="s">
        <v>210</v>
      </c>
      <c r="O36" s="149" t="s">
        <v>211</v>
      </c>
      <c r="T36" s="142"/>
    </row>
    <row r="37" s="2" customFormat="1" ht="51" customHeight="1" spans="2:20">
      <c r="B37" s="149" t="s">
        <v>265</v>
      </c>
      <c r="C37" s="20" t="s">
        <v>266</v>
      </c>
      <c r="D37" s="19" t="s">
        <v>9</v>
      </c>
      <c r="E37" s="19">
        <v>5</v>
      </c>
      <c r="F37" s="21">
        <v>5</v>
      </c>
      <c r="G37" s="19">
        <v>5</v>
      </c>
      <c r="H37" s="72"/>
      <c r="J37" s="127" t="s">
        <v>265</v>
      </c>
      <c r="K37" s="128" t="s">
        <v>266</v>
      </c>
      <c r="L37" s="95" t="s">
        <v>205</v>
      </c>
      <c r="M37" s="149" t="s">
        <v>209</v>
      </c>
      <c r="N37" s="149" t="s">
        <v>210</v>
      </c>
      <c r="O37" s="149" t="s">
        <v>211</v>
      </c>
      <c r="T37" s="142"/>
    </row>
    <row r="38" s="2" customFormat="1" ht="51" customHeight="1" spans="2:20">
      <c r="B38" s="149"/>
      <c r="C38" s="20" t="s">
        <v>267</v>
      </c>
      <c r="D38" s="19" t="s">
        <v>9</v>
      </c>
      <c r="E38" s="19">
        <v>20</v>
      </c>
      <c r="F38" s="21">
        <v>0</v>
      </c>
      <c r="G38" s="19">
        <v>20</v>
      </c>
      <c r="H38" s="48" t="s">
        <v>268</v>
      </c>
      <c r="J38" s="127"/>
      <c r="K38" s="128"/>
      <c r="L38" s="95"/>
      <c r="M38" s="149"/>
      <c r="N38" s="149"/>
      <c r="O38" s="149"/>
      <c r="T38" s="142"/>
    </row>
    <row r="39" s="2" customFormat="1" ht="51" customHeight="1" spans="2:20">
      <c r="B39" s="149"/>
      <c r="C39" s="23" t="s">
        <v>269</v>
      </c>
      <c r="D39" s="19" t="s">
        <v>9</v>
      </c>
      <c r="E39" s="19">
        <v>15</v>
      </c>
      <c r="F39" s="21">
        <v>15</v>
      </c>
      <c r="G39" s="19">
        <v>15</v>
      </c>
      <c r="H39" s="72"/>
      <c r="J39" s="127"/>
      <c r="K39" s="102" t="s">
        <v>269</v>
      </c>
      <c r="L39" s="95" t="s">
        <v>205</v>
      </c>
      <c r="M39" s="149" t="s">
        <v>209</v>
      </c>
      <c r="N39" s="149" t="s">
        <v>210</v>
      </c>
      <c r="O39" s="149" t="s">
        <v>211</v>
      </c>
      <c r="T39" s="142"/>
    </row>
    <row r="40" s="2" customFormat="1" ht="51" customHeight="1" spans="2:20">
      <c r="B40" s="130"/>
      <c r="C40" s="65" t="s">
        <v>270</v>
      </c>
      <c r="D40" s="19"/>
      <c r="E40" s="19">
        <f>SUM(E5:E39)</f>
        <v>465</v>
      </c>
      <c r="F40" s="21">
        <f>SUM(F5:F39)</f>
        <v>265</v>
      </c>
      <c r="G40" s="21">
        <f>SUM(G5:G39)</f>
        <v>330</v>
      </c>
      <c r="H40" s="72"/>
      <c r="J40" s="25"/>
      <c r="K40" s="128"/>
      <c r="L40" s="19"/>
      <c r="M40" s="19"/>
      <c r="N40" s="44"/>
      <c r="O40" s="44"/>
      <c r="T40" s="142"/>
    </row>
    <row r="41" s="2" customFormat="1" ht="51" customHeight="1" spans="2:20">
      <c r="B41" s="48"/>
      <c r="C41" s="65" t="s">
        <v>271</v>
      </c>
      <c r="D41" s="19"/>
      <c r="E41" s="19">
        <f>(E40/E40)*100</f>
        <v>100</v>
      </c>
      <c r="F41" s="26">
        <f>+F40/E40*100</f>
        <v>56.989247311828</v>
      </c>
      <c r="G41" s="27">
        <f>+G40/E40*100</f>
        <v>70.9677419354839</v>
      </c>
      <c r="H41" s="19"/>
      <c r="J41" s="127"/>
      <c r="K41" s="20"/>
      <c r="L41" s="19"/>
      <c r="M41" s="19"/>
      <c r="N41" s="44"/>
      <c r="O41" s="44"/>
      <c r="T41" s="142"/>
    </row>
    <row r="42" s="2" customFormat="1" ht="51" customHeight="1" spans="2:20">
      <c r="B42" s="48"/>
      <c r="C42" s="65"/>
      <c r="D42" s="19"/>
      <c r="E42" s="19"/>
      <c r="F42" s="26"/>
      <c r="G42" s="27"/>
      <c r="H42" s="19"/>
      <c r="J42" s="151"/>
      <c r="K42" s="152"/>
      <c r="L42" s="139"/>
      <c r="M42" s="139"/>
      <c r="N42" s="139"/>
      <c r="O42" s="139"/>
      <c r="T42" s="142"/>
    </row>
    <row r="43" s="2" customFormat="1" ht="51" customHeight="1" spans="2:20">
      <c r="B43" s="121"/>
      <c r="C43" s="3"/>
      <c r="D43" s="4"/>
      <c r="E43" s="4"/>
      <c r="F43" s="4"/>
      <c r="G43" s="4"/>
      <c r="H43" s="4"/>
      <c r="J43" s="138"/>
      <c r="K43" s="142"/>
      <c r="L43" s="139"/>
      <c r="M43" s="139"/>
      <c r="N43" s="139"/>
      <c r="O43" s="139"/>
      <c r="T43" s="142"/>
    </row>
    <row r="44" s="2" customFormat="1" ht="51" customHeight="1" spans="2:20">
      <c r="B44" s="121"/>
      <c r="D44" s="4"/>
      <c r="E44" s="4"/>
      <c r="F44" s="4"/>
      <c r="G44" s="4"/>
      <c r="H44" s="4"/>
      <c r="J44" s="137"/>
      <c r="K44" s="138"/>
      <c r="L44" s="139"/>
      <c r="M44" s="139"/>
      <c r="N44" s="139"/>
      <c r="O44" s="139"/>
      <c r="T44" s="142"/>
    </row>
    <row r="45" s="2" customFormat="1" ht="51" customHeight="1" spans="2:20">
      <c r="B45" s="121"/>
      <c r="C45" s="3"/>
      <c r="D45" s="4"/>
      <c r="E45" s="4"/>
      <c r="F45" s="4"/>
      <c r="G45" s="4"/>
      <c r="H45" s="4"/>
      <c r="J45" s="141"/>
      <c r="K45" s="138"/>
      <c r="L45" s="139"/>
      <c r="M45" s="139"/>
      <c r="N45" s="139"/>
      <c r="O45" s="139"/>
      <c r="T45" s="142"/>
    </row>
    <row r="46" s="2" customFormat="1" ht="51" customHeight="1" spans="2:20">
      <c r="B46" s="121"/>
      <c r="C46" s="3"/>
      <c r="D46" s="4"/>
      <c r="E46" s="4"/>
      <c r="F46" s="4"/>
      <c r="G46" s="4"/>
      <c r="H46" s="4"/>
      <c r="J46" s="141"/>
      <c r="K46" s="138"/>
      <c r="L46" s="139"/>
      <c r="M46" s="139"/>
      <c r="N46" s="139"/>
      <c r="O46" s="139"/>
      <c r="T46" s="142"/>
    </row>
    <row r="47" s="2" customFormat="1" ht="51" customHeight="1" spans="2:20">
      <c r="B47" s="121"/>
      <c r="C47" s="24"/>
      <c r="D47" s="4"/>
      <c r="E47" s="4"/>
      <c r="F47" s="4"/>
      <c r="G47" s="4"/>
      <c r="H47" s="4"/>
      <c r="J47" s="141"/>
      <c r="K47" s="138"/>
      <c r="L47" s="139"/>
      <c r="M47" s="139"/>
      <c r="N47" s="139"/>
      <c r="O47" s="139"/>
      <c r="T47" s="142"/>
    </row>
    <row r="48" s="2" customFormat="1" ht="51" customHeight="1" spans="2:20">
      <c r="B48" s="121"/>
      <c r="C48" s="24"/>
      <c r="D48" s="4"/>
      <c r="E48" s="4"/>
      <c r="F48" s="4"/>
      <c r="G48" s="4"/>
      <c r="H48" s="4"/>
      <c r="J48" s="137"/>
      <c r="K48" s="138"/>
      <c r="L48" s="139"/>
      <c r="M48" s="139"/>
      <c r="N48" s="139"/>
      <c r="O48" s="139"/>
      <c r="T48" s="142"/>
    </row>
    <row r="49" s="2" customFormat="1" ht="51" customHeight="1" spans="2:20">
      <c r="B49" s="121"/>
      <c r="C49" s="3"/>
      <c r="D49" s="4"/>
      <c r="E49" s="4"/>
      <c r="F49" s="4"/>
      <c r="G49" s="4"/>
      <c r="H49" s="4"/>
      <c r="J49" s="137"/>
      <c r="K49" s="138"/>
      <c r="L49" s="139"/>
      <c r="M49" s="139"/>
      <c r="N49" s="139"/>
      <c r="O49" s="139"/>
      <c r="T49" s="142"/>
    </row>
    <row r="50" s="2" customFormat="1" ht="51" customHeight="1" spans="2:20">
      <c r="B50" s="121"/>
      <c r="D50" s="4"/>
      <c r="E50" s="4"/>
      <c r="F50" s="4"/>
      <c r="G50" s="4"/>
      <c r="H50" s="4"/>
      <c r="J50" s="151"/>
      <c r="K50" s="138"/>
      <c r="L50" s="139"/>
      <c r="M50" s="139"/>
      <c r="N50" s="139"/>
      <c r="O50" s="139"/>
      <c r="T50" s="142"/>
    </row>
    <row r="51" s="2" customFormat="1" ht="51" customHeight="1" spans="2:20">
      <c r="B51" s="121"/>
      <c r="C51" s="24"/>
      <c r="D51" s="4"/>
      <c r="E51" s="4"/>
      <c r="F51" s="4"/>
      <c r="G51" s="4"/>
      <c r="H51" s="4"/>
      <c r="J51" s="151"/>
      <c r="K51" s="138"/>
      <c r="L51" s="139"/>
      <c r="M51" s="139"/>
      <c r="N51" s="139"/>
      <c r="O51" s="139"/>
      <c r="T51" s="142"/>
    </row>
    <row r="52" s="2" customFormat="1" ht="51" customHeight="1" spans="2:20">
      <c r="B52" s="121"/>
      <c r="C52" s="24"/>
      <c r="D52" s="4"/>
      <c r="E52" s="4"/>
      <c r="F52" s="4"/>
      <c r="G52" s="4"/>
      <c r="H52" s="4"/>
      <c r="J52" s="137"/>
      <c r="K52" s="138"/>
      <c r="L52" s="139"/>
      <c r="M52" s="139"/>
      <c r="N52" s="139"/>
      <c r="O52" s="139"/>
      <c r="T52" s="142"/>
    </row>
    <row r="53" s="2" customFormat="1" ht="51" customHeight="1" spans="2:20">
      <c r="B53" s="121"/>
      <c r="C53" s="24"/>
      <c r="D53" s="4"/>
      <c r="E53" s="4"/>
      <c r="F53" s="4"/>
      <c r="G53" s="4"/>
      <c r="H53" s="4"/>
      <c r="J53" s="137"/>
      <c r="K53" s="138"/>
      <c r="L53" s="139"/>
      <c r="M53" s="139"/>
      <c r="N53" s="139"/>
      <c r="O53" s="139"/>
      <c r="T53" s="142"/>
    </row>
    <row r="54" s="2" customFormat="1" ht="51" customHeight="1" spans="2:20">
      <c r="B54" s="121"/>
      <c r="D54" s="4"/>
      <c r="E54" s="4"/>
      <c r="F54" s="4"/>
      <c r="G54" s="4"/>
      <c r="H54" s="4"/>
      <c r="J54" s="108"/>
      <c r="K54" s="138"/>
      <c r="L54" s="139"/>
      <c r="M54" s="139"/>
      <c r="N54" s="139"/>
      <c r="O54" s="139"/>
      <c r="T54" s="142"/>
    </row>
    <row r="55" s="2" customFormat="1" ht="51" customHeight="1" spans="2:20">
      <c r="B55" s="121"/>
      <c r="C55" s="3"/>
      <c r="D55" s="4"/>
      <c r="E55" s="4"/>
      <c r="F55" s="4"/>
      <c r="G55" s="4"/>
      <c r="H55" s="4"/>
      <c r="J55" s="108"/>
      <c r="K55" s="138"/>
      <c r="L55" s="139"/>
      <c r="M55" s="139"/>
      <c r="N55" s="139"/>
      <c r="O55" s="139"/>
      <c r="T55" s="142"/>
    </row>
    <row r="56" s="2" customFormat="1" ht="51" customHeight="1" spans="2:20">
      <c r="B56" s="121"/>
      <c r="C56" s="24"/>
      <c r="D56" s="4"/>
      <c r="E56" s="4"/>
      <c r="F56" s="4"/>
      <c r="G56" s="4"/>
      <c r="H56" s="4"/>
      <c r="J56" s="108"/>
      <c r="K56" s="138"/>
      <c r="L56" s="139"/>
      <c r="M56" s="139"/>
      <c r="N56" s="139"/>
      <c r="O56" s="139"/>
      <c r="T56" s="142"/>
    </row>
    <row r="57" s="2" customFormat="1" ht="51" customHeight="1" spans="2:20">
      <c r="B57" s="121"/>
      <c r="C57" s="24"/>
      <c r="D57" s="4"/>
      <c r="E57" s="4"/>
      <c r="F57" s="4"/>
      <c r="G57" s="4"/>
      <c r="H57" s="4"/>
      <c r="J57" s="137"/>
      <c r="K57" s="138"/>
      <c r="L57" s="139"/>
      <c r="M57" s="139"/>
      <c r="N57" s="139"/>
      <c r="O57" s="139"/>
      <c r="T57" s="142"/>
    </row>
    <row r="58" s="2" customFormat="1" ht="42" customHeight="1" spans="2:20">
      <c r="B58" s="121"/>
      <c r="C58" s="24"/>
      <c r="D58" s="4"/>
      <c r="E58" s="4"/>
      <c r="F58" s="4"/>
      <c r="G58" s="4"/>
      <c r="H58" s="4"/>
      <c r="J58" s="137"/>
      <c r="K58" s="138"/>
      <c r="L58" s="139"/>
      <c r="M58" s="139"/>
      <c r="N58" s="139"/>
      <c r="O58" s="139"/>
      <c r="T58" s="142"/>
    </row>
    <row r="59" s="2" customFormat="1" ht="61.5" customHeight="1" spans="2:20">
      <c r="B59" s="121"/>
      <c r="C59" s="3"/>
      <c r="D59" s="4"/>
      <c r="E59" s="4"/>
      <c r="F59" s="4"/>
      <c r="G59" s="4"/>
      <c r="H59" s="4"/>
      <c r="J59" s="141"/>
      <c r="K59" s="138"/>
      <c r="L59" s="139"/>
      <c r="M59" s="139"/>
      <c r="N59" s="139"/>
      <c r="O59" s="139"/>
      <c r="T59" s="142"/>
    </row>
    <row r="60" s="2" customFormat="1" ht="42" customHeight="1" spans="2:20">
      <c r="B60" s="121"/>
      <c r="C60" s="3"/>
      <c r="D60" s="4"/>
      <c r="E60" s="4"/>
      <c r="F60" s="4"/>
      <c r="G60" s="4"/>
      <c r="H60" s="4"/>
      <c r="J60" s="137"/>
      <c r="K60" s="138"/>
      <c r="L60" s="139"/>
      <c r="M60" s="139"/>
      <c r="N60" s="139"/>
      <c r="O60" s="139"/>
      <c r="T60" s="142"/>
    </row>
    <row r="61" s="2" customFormat="1" ht="45" customHeight="1" spans="2:20">
      <c r="B61" s="121"/>
      <c r="C61" s="3"/>
      <c r="D61" s="4"/>
      <c r="E61" s="4"/>
      <c r="F61" s="4"/>
      <c r="G61" s="4"/>
      <c r="H61" s="4"/>
      <c r="J61" s="141"/>
      <c r="K61" s="138"/>
      <c r="L61" s="139"/>
      <c r="M61" s="139"/>
      <c r="N61" s="139"/>
      <c r="O61" s="139"/>
      <c r="T61" s="142"/>
    </row>
    <row r="62" s="2" customFormat="1" ht="37.5" customHeight="1" spans="2:20">
      <c r="B62" s="121"/>
      <c r="C62" s="3"/>
      <c r="D62" s="4"/>
      <c r="E62" s="4"/>
      <c r="F62" s="4"/>
      <c r="G62" s="4"/>
      <c r="H62" s="4"/>
      <c r="J62" s="141"/>
      <c r="K62" s="138"/>
      <c r="L62" s="139"/>
      <c r="M62" s="139"/>
      <c r="N62" s="139"/>
      <c r="O62" s="139"/>
      <c r="T62" s="142"/>
    </row>
    <row r="63" s="2" customFormat="1" ht="30" customHeight="1" spans="2:20">
      <c r="B63" s="121"/>
      <c r="C63" s="24"/>
      <c r="D63" s="4"/>
      <c r="E63" s="4"/>
      <c r="F63" s="4"/>
      <c r="G63" s="4"/>
      <c r="H63" s="4"/>
      <c r="J63" s="141"/>
      <c r="K63" s="138"/>
      <c r="L63" s="139"/>
      <c r="M63" s="139"/>
      <c r="N63" s="139"/>
      <c r="O63" s="139"/>
      <c r="T63" s="142"/>
    </row>
    <row r="64" s="2" customFormat="1" ht="39.75" customHeight="1" spans="2:20">
      <c r="B64" s="121"/>
      <c r="C64" s="24"/>
      <c r="D64" s="4"/>
      <c r="E64" s="4"/>
      <c r="F64" s="4"/>
      <c r="G64" s="4"/>
      <c r="H64" s="4"/>
      <c r="J64" s="141"/>
      <c r="K64" s="138"/>
      <c r="L64" s="139"/>
      <c r="M64" s="139"/>
      <c r="N64" s="139"/>
      <c r="O64" s="139"/>
      <c r="T64" s="142"/>
    </row>
    <row r="65" s="2" customFormat="1" ht="55.5" customHeight="1" spans="2:20">
      <c r="B65" s="121"/>
      <c r="C65" s="24"/>
      <c r="D65" s="4"/>
      <c r="E65" s="4"/>
      <c r="F65" s="4"/>
      <c r="G65" s="4"/>
      <c r="H65" s="4"/>
      <c r="J65" s="141"/>
      <c r="K65" s="138"/>
      <c r="L65" s="139"/>
      <c r="M65" s="139"/>
      <c r="N65" s="139"/>
      <c r="O65" s="139"/>
      <c r="P65" s="2" t="s">
        <v>272</v>
      </c>
      <c r="T65" s="142"/>
    </row>
    <row r="66" s="2" customFormat="1" ht="30" customHeight="1" spans="2:20">
      <c r="B66" s="121"/>
      <c r="C66" s="24"/>
      <c r="D66" s="4"/>
      <c r="E66" s="4"/>
      <c r="F66" s="4"/>
      <c r="G66" s="4"/>
      <c r="H66" s="4"/>
      <c r="J66" s="137"/>
      <c r="K66" s="138"/>
      <c r="L66" s="139"/>
      <c r="M66" s="139"/>
      <c r="N66" s="139"/>
      <c r="O66" s="139"/>
      <c r="T66" s="142"/>
    </row>
    <row r="67" s="2" customFormat="1" ht="30" customHeight="1" spans="2:20">
      <c r="B67" s="121"/>
      <c r="C67" s="24"/>
      <c r="D67" s="4"/>
      <c r="E67" s="4"/>
      <c r="F67" s="4"/>
      <c r="G67" s="4"/>
      <c r="H67" s="4"/>
      <c r="J67" s="137"/>
      <c r="K67" s="138"/>
      <c r="L67" s="139"/>
      <c r="M67" s="139"/>
      <c r="N67" s="139"/>
      <c r="O67" s="139"/>
      <c r="T67" s="142"/>
    </row>
    <row r="68" s="2" customFormat="1" ht="30" customHeight="1" spans="2:20">
      <c r="B68" s="121"/>
      <c r="C68" s="3"/>
      <c r="D68" s="4"/>
      <c r="E68" s="4"/>
      <c r="F68" s="4"/>
      <c r="G68" s="4"/>
      <c r="H68" s="4"/>
      <c r="J68" s="137"/>
      <c r="K68" s="138"/>
      <c r="L68" s="139"/>
      <c r="M68" s="139"/>
      <c r="N68" s="139"/>
      <c r="O68" s="139"/>
      <c r="T68" s="142"/>
    </row>
    <row r="69" s="2" customFormat="1" ht="30" customHeight="1" spans="2:20">
      <c r="B69" s="121"/>
      <c r="C69" s="24"/>
      <c r="D69" s="4"/>
      <c r="E69" s="4"/>
      <c r="F69" s="4"/>
      <c r="G69" s="4"/>
      <c r="H69" s="4"/>
      <c r="J69" s="141"/>
      <c r="K69" s="142"/>
      <c r="L69" s="139"/>
      <c r="M69" s="139"/>
      <c r="N69" s="139"/>
      <c r="O69" s="139"/>
      <c r="T69" s="142"/>
    </row>
    <row r="70" s="2" customFormat="1" ht="30" customHeight="1" spans="2:20">
      <c r="B70" s="121"/>
      <c r="C70" s="24"/>
      <c r="D70" s="4"/>
      <c r="E70" s="4"/>
      <c r="F70" s="4"/>
      <c r="G70" s="4"/>
      <c r="H70" s="4"/>
      <c r="J70" s="108"/>
      <c r="K70" s="138"/>
      <c r="L70" s="139"/>
      <c r="M70" s="139"/>
      <c r="N70" s="139"/>
      <c r="O70" s="139"/>
      <c r="T70" s="142"/>
    </row>
    <row r="71" s="2" customFormat="1" ht="30" customHeight="1" spans="2:20">
      <c r="B71" s="121"/>
      <c r="C71" s="24"/>
      <c r="D71" s="4"/>
      <c r="E71" s="4"/>
      <c r="F71" s="4"/>
      <c r="G71" s="4"/>
      <c r="H71" s="4"/>
      <c r="J71" s="137"/>
      <c r="K71" s="142"/>
      <c r="L71" s="139"/>
      <c r="M71" s="139"/>
      <c r="N71" s="139"/>
      <c r="O71" s="139"/>
      <c r="T71" s="142"/>
    </row>
    <row r="72" s="2" customFormat="1" ht="39.75" customHeight="1" spans="2:20">
      <c r="B72" s="121"/>
      <c r="C72" s="24"/>
      <c r="D72" s="4"/>
      <c r="E72" s="4"/>
      <c r="F72" s="4"/>
      <c r="G72" s="4"/>
      <c r="H72" s="4"/>
      <c r="J72" s="108"/>
      <c r="K72" s="138"/>
      <c r="L72" s="139"/>
      <c r="M72" s="139"/>
      <c r="N72" s="139"/>
      <c r="O72" s="139"/>
      <c r="T72" s="142"/>
    </row>
    <row r="73" s="2" customFormat="1" ht="39.75" customHeight="1" spans="2:20">
      <c r="B73" s="121"/>
      <c r="C73" s="24"/>
      <c r="D73" s="4"/>
      <c r="E73" s="4"/>
      <c r="F73" s="4"/>
      <c r="G73" s="4"/>
      <c r="H73" s="4"/>
      <c r="J73" s="143"/>
      <c r="K73" s="144"/>
      <c r="L73" s="139"/>
      <c r="M73" s="139"/>
      <c r="N73" s="139"/>
      <c r="O73" s="139"/>
      <c r="T73" s="142"/>
    </row>
    <row r="74" s="2" customFormat="1" ht="39.75" customHeight="1" spans="2:20">
      <c r="B74" s="121"/>
      <c r="C74" s="24"/>
      <c r="D74" s="4"/>
      <c r="E74" s="4"/>
      <c r="F74" s="4"/>
      <c r="G74" s="4"/>
      <c r="H74" s="4"/>
      <c r="J74" s="143"/>
      <c r="K74" s="144"/>
      <c r="L74" s="139"/>
      <c r="M74" s="139"/>
      <c r="N74" s="139"/>
      <c r="O74" s="139"/>
      <c r="T74" s="142"/>
    </row>
    <row r="75" s="2" customFormat="1" ht="39.75" customHeight="1" spans="2:20">
      <c r="B75" s="121"/>
      <c r="C75" s="24"/>
      <c r="D75" s="4"/>
      <c r="E75" s="4"/>
      <c r="F75" s="4"/>
      <c r="G75" s="4"/>
      <c r="H75" s="4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</row>
    <row r="76" s="2" customFormat="1" ht="33.75" customHeight="1" spans="2:20">
      <c r="B76" s="121"/>
      <c r="C76" s="24"/>
      <c r="D76" s="4"/>
      <c r="E76" s="4"/>
      <c r="F76" s="4"/>
      <c r="G76" s="4"/>
      <c r="H76" s="4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</row>
    <row r="77" s="2" customFormat="1" ht="30" customHeight="1" spans="2:20">
      <c r="B77" s="121"/>
      <c r="C77" s="3"/>
      <c r="D77" s="4"/>
      <c r="E77" s="4"/>
      <c r="F77" s="4"/>
      <c r="G77" s="4"/>
      <c r="H77" s="4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</row>
    <row r="78" s="2" customFormat="1" ht="30" customHeight="1" spans="2:20">
      <c r="B78" s="121"/>
      <c r="C78" s="24"/>
      <c r="D78" s="4"/>
      <c r="E78" s="4"/>
      <c r="F78" s="4"/>
      <c r="G78" s="4"/>
      <c r="H78" s="5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</row>
    <row r="79" s="2" customFormat="1" ht="30" customHeight="1" spans="2:20">
      <c r="B79" s="121"/>
      <c r="D79" s="4"/>
      <c r="E79" s="4"/>
      <c r="F79" s="4"/>
      <c r="G79" s="4"/>
      <c r="H79" s="5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</row>
    <row r="80" s="2" customFormat="1" ht="30" customHeight="1" spans="2:20">
      <c r="B80" s="121"/>
      <c r="C80" s="24"/>
      <c r="D80" s="4"/>
      <c r="E80" s="4"/>
      <c r="F80" s="4"/>
      <c r="G80" s="4"/>
      <c r="H80" s="5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</row>
    <row r="81" s="2" customFormat="1" ht="30" customHeight="1" spans="2:20">
      <c r="B81" s="121"/>
      <c r="C81" s="24"/>
      <c r="D81" s="4"/>
      <c r="E81" s="4"/>
      <c r="F81" s="4"/>
      <c r="G81" s="4"/>
      <c r="H81" s="5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</row>
    <row r="82" s="2" customFormat="1" ht="30" customHeight="1" spans="2:20">
      <c r="B82" s="121"/>
      <c r="C82" s="24"/>
      <c r="D82" s="4"/>
      <c r="E82" s="4"/>
      <c r="F82" s="4"/>
      <c r="G82" s="4"/>
      <c r="H82" s="5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</row>
    <row r="83" s="2" customFormat="1" ht="30" customHeight="1" spans="2:20">
      <c r="B83" s="121"/>
      <c r="C83" s="3"/>
      <c r="D83" s="4"/>
      <c r="E83" s="4"/>
      <c r="F83" s="4"/>
      <c r="G83" s="4"/>
      <c r="H83" s="5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</row>
    <row r="84" s="2" customFormat="1" ht="30" customHeight="1" spans="2:20">
      <c r="B84" s="121"/>
      <c r="D84" s="4"/>
      <c r="E84" s="4"/>
      <c r="F84" s="4"/>
      <c r="G84" s="4"/>
      <c r="H84" s="5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</row>
    <row r="85" s="2" customFormat="1" ht="30" customHeight="1" spans="2:20">
      <c r="B85" s="121"/>
      <c r="D85" s="4"/>
      <c r="E85" s="4"/>
      <c r="F85" s="4"/>
      <c r="G85" s="4"/>
      <c r="H85" s="5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</row>
    <row r="86" s="2" customFormat="1" ht="30" customHeight="1" spans="2:20">
      <c r="B86" s="121"/>
      <c r="C86" s="24"/>
      <c r="D86" s="4"/>
      <c r="E86" s="4"/>
      <c r="F86" s="4"/>
      <c r="G86" s="4"/>
      <c r="H86" s="5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</row>
    <row r="87" s="2" customFormat="1" ht="30" customHeight="1" spans="2:20">
      <c r="B87" s="121"/>
      <c r="C87" s="24"/>
      <c r="D87" s="4"/>
      <c r="E87" s="4"/>
      <c r="F87" s="4"/>
      <c r="G87" s="4"/>
      <c r="H87" s="5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</row>
    <row r="88" s="2" customFormat="1" ht="30" customHeight="1" spans="2:20">
      <c r="B88" s="121"/>
      <c r="C88" s="24"/>
      <c r="D88" s="4"/>
      <c r="E88" s="4"/>
      <c r="F88" s="4"/>
      <c r="G88" s="4"/>
      <c r="H88" s="5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</row>
    <row r="89" s="2" customFormat="1" ht="30" customHeight="1" spans="2:20">
      <c r="B89" s="121"/>
      <c r="C89" s="3"/>
      <c r="D89" s="4"/>
      <c r="E89" s="4"/>
      <c r="F89" s="4"/>
      <c r="G89" s="4"/>
      <c r="H89" s="5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</row>
    <row r="90" s="2" customFormat="1" ht="30" customHeight="1" spans="2:20">
      <c r="B90" s="121"/>
      <c r="C90" s="24"/>
      <c r="D90" s="4"/>
      <c r="E90" s="4"/>
      <c r="F90" s="4"/>
      <c r="G90" s="4"/>
      <c r="H90" s="5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</row>
    <row r="91" s="2" customFormat="1" ht="30" customHeight="1" spans="2:20">
      <c r="B91" s="121"/>
      <c r="C91" s="24"/>
      <c r="D91" s="4"/>
      <c r="E91" s="4"/>
      <c r="F91" s="4"/>
      <c r="G91" s="4"/>
      <c r="H91" s="5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</row>
    <row r="92" s="2" customFormat="1" ht="30" customHeight="1" spans="2:20">
      <c r="B92" s="121"/>
      <c r="C92" s="3"/>
      <c r="D92" s="4"/>
      <c r="E92" s="4"/>
      <c r="F92" s="4"/>
      <c r="G92" s="4"/>
      <c r="H92" s="5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</row>
    <row r="93" s="2" customFormat="1" ht="30" customHeight="1" spans="2:20">
      <c r="B93" s="121"/>
      <c r="C93" s="24"/>
      <c r="D93" s="4"/>
      <c r="E93" s="4"/>
      <c r="F93" s="4"/>
      <c r="G93" s="4"/>
      <c r="H93" s="5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</row>
    <row r="94" s="2" customFormat="1" ht="30" customHeight="1" spans="2:20">
      <c r="B94" s="121"/>
      <c r="C94" s="24"/>
      <c r="D94" s="4"/>
      <c r="E94" s="4"/>
      <c r="F94" s="4"/>
      <c r="G94" s="4"/>
      <c r="H94" s="5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</row>
    <row r="95" s="2" customFormat="1" ht="30" customHeight="1" spans="2:20">
      <c r="B95" s="121"/>
      <c r="C95" s="24"/>
      <c r="D95" s="4"/>
      <c r="E95" s="4"/>
      <c r="F95" s="4"/>
      <c r="G95" s="4"/>
      <c r="H95" s="5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</row>
    <row r="96" s="2" customFormat="1" ht="31.5" customHeight="1" spans="2:20">
      <c r="B96" s="121"/>
      <c r="C96" s="24"/>
      <c r="D96" s="4"/>
      <c r="E96" s="4"/>
      <c r="F96" s="4"/>
      <c r="G96" s="4"/>
      <c r="H96" s="5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</row>
    <row r="97" s="2" customFormat="1" ht="30" customHeight="1" spans="2:20">
      <c r="B97" s="121"/>
      <c r="C97" s="3"/>
      <c r="D97" s="4"/>
      <c r="E97" s="4"/>
      <c r="F97" s="4"/>
      <c r="G97" s="4"/>
      <c r="H97" s="5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</row>
    <row r="98" s="2" customFormat="1" ht="30" customHeight="1" spans="2:20">
      <c r="B98" s="121"/>
      <c r="C98" s="3"/>
      <c r="D98" s="4"/>
      <c r="E98" s="4"/>
      <c r="F98" s="4"/>
      <c r="G98" s="4"/>
      <c r="H98" s="5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</row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</sheetData>
  <autoFilter ref="B4:I106">
    <extLst/>
  </autoFilter>
  <mergeCells count="21">
    <mergeCell ref="B2:H2"/>
    <mergeCell ref="B3:H3"/>
    <mergeCell ref="J3:O3"/>
    <mergeCell ref="R5:S5"/>
    <mergeCell ref="R6:S6"/>
    <mergeCell ref="R7:S7"/>
    <mergeCell ref="R8:S8"/>
    <mergeCell ref="B7:B8"/>
    <mergeCell ref="B10:B11"/>
    <mergeCell ref="B12:B17"/>
    <mergeCell ref="B18:B27"/>
    <mergeCell ref="B28:B31"/>
    <mergeCell ref="B34:B36"/>
    <mergeCell ref="B37:B39"/>
    <mergeCell ref="J7:J8"/>
    <mergeCell ref="J10:J11"/>
    <mergeCell ref="J12:J17"/>
    <mergeCell ref="J18:J27"/>
    <mergeCell ref="J28:J31"/>
    <mergeCell ref="J34:J36"/>
    <mergeCell ref="J37:J39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B1:T96"/>
  <sheetViews>
    <sheetView zoomScale="80" zoomScaleNormal="80" workbookViewId="0">
      <pane ySplit="5" topLeftCell="A6" activePane="bottomLeft" state="frozen"/>
      <selection/>
      <selection pane="bottomLeft" activeCell="E12" sqref="E12"/>
    </sheetView>
  </sheetViews>
  <sheetFormatPr defaultColWidth="8.88888888888889" defaultRowHeight="15.6"/>
  <cols>
    <col min="1" max="1" width="8.88888888888889" style="3"/>
    <col min="2" max="2" width="25.1111111111111" style="121" customWidth="1"/>
    <col min="3" max="3" width="65.4444444444444" style="3" customWidth="1"/>
    <col min="4" max="4" width="14" style="4" customWidth="1"/>
    <col min="5" max="7" width="12.8888888888889" style="4" customWidth="1"/>
    <col min="8" max="8" width="52.4444444444444" style="5" customWidth="1"/>
    <col min="9" max="9" width="12.6666666666667" style="3" customWidth="1"/>
    <col min="10" max="10" width="20.7777777777778" style="3" customWidth="1"/>
    <col min="11" max="11" width="72.7777777777778" style="3" customWidth="1"/>
    <col min="12" max="16" width="16.3333333333333" style="3" customWidth="1"/>
    <col min="17" max="16384" width="8.88888888888889" style="3"/>
  </cols>
  <sheetData>
    <row r="1" ht="15" customHeight="1" spans="6:7">
      <c r="F1" s="54"/>
      <c r="G1" s="54"/>
    </row>
    <row r="2" ht="15" customHeight="1" spans="2:16">
      <c r="B2" s="7"/>
      <c r="C2" s="7"/>
      <c r="D2" s="7"/>
      <c r="E2" s="7"/>
      <c r="F2" s="7"/>
      <c r="G2" s="7"/>
      <c r="H2" s="7"/>
      <c r="J2" s="7" t="s">
        <v>11</v>
      </c>
      <c r="K2" s="7"/>
      <c r="L2" s="7"/>
      <c r="M2" s="7"/>
      <c r="N2" s="7"/>
      <c r="O2" s="7"/>
      <c r="P2" s="7"/>
    </row>
    <row r="3" ht="24.75" customHeight="1" spans="2:16">
      <c r="B3" s="8" t="s">
        <v>273</v>
      </c>
      <c r="C3" s="8"/>
      <c r="D3" s="8"/>
      <c r="E3" s="8"/>
      <c r="F3" s="8"/>
      <c r="G3" s="8"/>
      <c r="H3" s="8"/>
      <c r="J3" s="8" t="s">
        <v>273</v>
      </c>
      <c r="K3" s="8"/>
      <c r="L3" s="8"/>
      <c r="M3" s="8"/>
      <c r="N3" s="8"/>
      <c r="O3" s="8"/>
      <c r="P3" s="8"/>
    </row>
    <row r="4" ht="27.75" customHeight="1" spans="2:16">
      <c r="B4" s="123"/>
      <c r="C4" s="10" t="s">
        <v>194</v>
      </c>
      <c r="D4" s="10" t="s">
        <v>195</v>
      </c>
      <c r="E4" s="39" t="s">
        <v>196</v>
      </c>
      <c r="F4" s="40" t="s">
        <v>197</v>
      </c>
      <c r="G4" s="39" t="s">
        <v>198</v>
      </c>
      <c r="H4" s="10" t="s">
        <v>199</v>
      </c>
      <c r="J4" s="123"/>
      <c r="K4" s="10" t="s">
        <v>194</v>
      </c>
      <c r="L4" s="10"/>
      <c r="M4" s="39"/>
      <c r="N4" s="39"/>
      <c r="O4" s="39"/>
      <c r="P4" s="10"/>
    </row>
    <row r="5" s="1" customFormat="1" ht="30.75" customHeight="1" spans="2:20">
      <c r="B5" s="45"/>
      <c r="C5" s="14" t="s">
        <v>200</v>
      </c>
      <c r="D5" s="14"/>
      <c r="E5" s="30"/>
      <c r="F5" s="30"/>
      <c r="G5" s="30"/>
      <c r="H5" s="124"/>
      <c r="J5" s="45"/>
      <c r="K5" s="14" t="s">
        <v>200</v>
      </c>
      <c r="L5" s="30" t="s">
        <v>274</v>
      </c>
      <c r="M5" s="30" t="s">
        <v>275</v>
      </c>
      <c r="N5" s="30" t="s">
        <v>276</v>
      </c>
      <c r="O5" s="30" t="s">
        <v>277</v>
      </c>
      <c r="P5" s="30" t="s">
        <v>278</v>
      </c>
      <c r="R5" s="31" t="s">
        <v>205</v>
      </c>
      <c r="S5" s="19" t="s">
        <v>4</v>
      </c>
      <c r="T5" s="19"/>
    </row>
    <row r="6" s="1" customFormat="1" ht="63.75" customHeight="1" spans="2:20">
      <c r="B6" s="125" t="s">
        <v>206</v>
      </c>
      <c r="C6" s="20" t="s">
        <v>279</v>
      </c>
      <c r="D6" s="19" t="s">
        <v>11</v>
      </c>
      <c r="E6" s="19">
        <v>10</v>
      </c>
      <c r="F6" s="21">
        <v>10</v>
      </c>
      <c r="G6" s="19">
        <v>10</v>
      </c>
      <c r="H6" s="126"/>
      <c r="J6" s="125" t="s">
        <v>206</v>
      </c>
      <c r="K6" s="20" t="s">
        <v>279</v>
      </c>
      <c r="L6" s="19" t="s">
        <v>209</v>
      </c>
      <c r="M6" s="19" t="s">
        <v>205</v>
      </c>
      <c r="N6" s="44" t="s">
        <v>205</v>
      </c>
      <c r="O6" s="44" t="s">
        <v>210</v>
      </c>
      <c r="P6" s="44" t="s">
        <v>211</v>
      </c>
      <c r="R6" s="33" t="s">
        <v>209</v>
      </c>
      <c r="S6" s="19" t="s">
        <v>212</v>
      </c>
      <c r="T6" s="19"/>
    </row>
    <row r="7" s="2" customFormat="1" ht="51" customHeight="1" spans="2:20">
      <c r="B7" s="125"/>
      <c r="C7" s="20" t="s">
        <v>280</v>
      </c>
      <c r="D7" s="19" t="s">
        <v>11</v>
      </c>
      <c r="E7" s="19">
        <v>5</v>
      </c>
      <c r="F7" s="21">
        <v>5</v>
      </c>
      <c r="G7" s="19">
        <v>5</v>
      </c>
      <c r="H7" s="44"/>
      <c r="J7" s="125"/>
      <c r="K7" s="20" t="s">
        <v>280</v>
      </c>
      <c r="L7" s="19" t="s">
        <v>209</v>
      </c>
      <c r="M7" s="19" t="s">
        <v>205</v>
      </c>
      <c r="N7" s="44" t="s">
        <v>205</v>
      </c>
      <c r="O7" s="44" t="s">
        <v>210</v>
      </c>
      <c r="P7" s="44" t="s">
        <v>211</v>
      </c>
      <c r="R7" s="14" t="s">
        <v>210</v>
      </c>
      <c r="S7" s="19" t="s">
        <v>215</v>
      </c>
      <c r="T7" s="19"/>
    </row>
    <row r="8" s="2" customFormat="1" ht="51" customHeight="1" spans="2:20">
      <c r="B8" s="125"/>
      <c r="C8" s="63" t="s">
        <v>281</v>
      </c>
      <c r="D8" s="19" t="s">
        <v>11</v>
      </c>
      <c r="E8" s="19">
        <v>10</v>
      </c>
      <c r="F8" s="21">
        <v>10</v>
      </c>
      <c r="G8" s="19">
        <v>10</v>
      </c>
      <c r="H8" s="72"/>
      <c r="J8" s="125"/>
      <c r="K8" s="63" t="s">
        <v>281</v>
      </c>
      <c r="L8" s="19" t="s">
        <v>209</v>
      </c>
      <c r="M8" s="19" t="s">
        <v>205</v>
      </c>
      <c r="N8" s="44" t="s">
        <v>205</v>
      </c>
      <c r="O8" s="44" t="s">
        <v>210</v>
      </c>
      <c r="P8" s="44" t="s">
        <v>211</v>
      </c>
      <c r="R8" s="10" t="s">
        <v>211</v>
      </c>
      <c r="S8" s="19" t="s">
        <v>216</v>
      </c>
      <c r="T8" s="19"/>
    </row>
    <row r="9" s="2" customFormat="1" ht="51" customHeight="1" spans="2:16">
      <c r="B9" s="125"/>
      <c r="C9" s="63" t="s">
        <v>282</v>
      </c>
      <c r="D9" s="19" t="s">
        <v>11</v>
      </c>
      <c r="E9" s="19">
        <v>15</v>
      </c>
      <c r="F9" s="21">
        <v>0</v>
      </c>
      <c r="G9" s="19">
        <v>0</v>
      </c>
      <c r="H9" s="44" t="s">
        <v>283</v>
      </c>
      <c r="J9" s="125"/>
      <c r="K9" s="63" t="s">
        <v>282</v>
      </c>
      <c r="L9" s="19" t="s">
        <v>209</v>
      </c>
      <c r="M9" s="19" t="s">
        <v>205</v>
      </c>
      <c r="N9" s="44" t="s">
        <v>205</v>
      </c>
      <c r="O9" s="44" t="s">
        <v>210</v>
      </c>
      <c r="P9" s="44" t="s">
        <v>211</v>
      </c>
    </row>
    <row r="10" s="2" customFormat="1" ht="51" customHeight="1" spans="2:16">
      <c r="B10" s="127" t="s">
        <v>213</v>
      </c>
      <c r="C10" s="63" t="s">
        <v>284</v>
      </c>
      <c r="D10" s="19" t="s">
        <v>11</v>
      </c>
      <c r="E10" s="19">
        <v>10</v>
      </c>
      <c r="F10" s="21">
        <v>10</v>
      </c>
      <c r="G10" s="19">
        <v>10</v>
      </c>
      <c r="H10" s="72"/>
      <c r="J10" s="127" t="s">
        <v>213</v>
      </c>
      <c r="K10" s="63" t="s">
        <v>284</v>
      </c>
      <c r="L10" s="19" t="s">
        <v>209</v>
      </c>
      <c r="M10" s="19" t="s">
        <v>205</v>
      </c>
      <c r="N10" s="44" t="s">
        <v>205</v>
      </c>
      <c r="O10" s="44" t="s">
        <v>210</v>
      </c>
      <c r="P10" s="44" t="s">
        <v>211</v>
      </c>
    </row>
    <row r="11" s="2" customFormat="1" ht="51" customHeight="1" spans="2:16">
      <c r="B11" s="127"/>
      <c r="C11" s="128" t="s">
        <v>285</v>
      </c>
      <c r="D11" s="19" t="s">
        <v>11</v>
      </c>
      <c r="E11" s="19">
        <v>10</v>
      </c>
      <c r="F11" s="21">
        <v>0</v>
      </c>
      <c r="G11" s="19">
        <v>10</v>
      </c>
      <c r="H11" s="48" t="s">
        <v>286</v>
      </c>
      <c r="J11" s="127"/>
      <c r="K11" s="128" t="s">
        <v>285</v>
      </c>
      <c r="L11" s="19" t="s">
        <v>209</v>
      </c>
      <c r="M11" s="19" t="s">
        <v>205</v>
      </c>
      <c r="N11" s="44" t="s">
        <v>205</v>
      </c>
      <c r="O11" s="44" t="s">
        <v>210</v>
      </c>
      <c r="P11" s="44" t="s">
        <v>211</v>
      </c>
    </row>
    <row r="12" s="2" customFormat="1" ht="68.25" customHeight="1" spans="2:16">
      <c r="B12" s="127"/>
      <c r="C12" s="128" t="s">
        <v>287</v>
      </c>
      <c r="D12" s="19" t="s">
        <v>11</v>
      </c>
      <c r="E12" s="19">
        <v>5</v>
      </c>
      <c r="F12" s="21">
        <v>0</v>
      </c>
      <c r="G12" s="19">
        <v>0</v>
      </c>
      <c r="H12" s="48" t="s">
        <v>288</v>
      </c>
      <c r="J12" s="127"/>
      <c r="K12" s="128" t="s">
        <v>289</v>
      </c>
      <c r="L12" s="19" t="s">
        <v>209</v>
      </c>
      <c r="M12" s="19" t="s">
        <v>205</v>
      </c>
      <c r="N12" s="44" t="s">
        <v>205</v>
      </c>
      <c r="O12" s="44" t="s">
        <v>210</v>
      </c>
      <c r="P12" s="44" t="s">
        <v>211</v>
      </c>
    </row>
    <row r="13" s="2" customFormat="1" ht="51" customHeight="1" spans="2:16">
      <c r="B13" s="127"/>
      <c r="C13" s="63" t="s">
        <v>290</v>
      </c>
      <c r="D13" s="19" t="s">
        <v>11</v>
      </c>
      <c r="E13" s="19">
        <v>10</v>
      </c>
      <c r="F13" s="21">
        <v>10</v>
      </c>
      <c r="G13" s="19">
        <v>10</v>
      </c>
      <c r="H13" s="48"/>
      <c r="J13" s="127"/>
      <c r="K13" s="63" t="s">
        <v>290</v>
      </c>
      <c r="L13" s="19" t="s">
        <v>209</v>
      </c>
      <c r="M13" s="19" t="s">
        <v>205</v>
      </c>
      <c r="N13" s="44" t="s">
        <v>205</v>
      </c>
      <c r="O13" s="44" t="s">
        <v>210</v>
      </c>
      <c r="P13" s="44" t="s">
        <v>211</v>
      </c>
    </row>
    <row r="14" s="2" customFormat="1" ht="51" customHeight="1" spans="2:16">
      <c r="B14" s="125" t="s">
        <v>291</v>
      </c>
      <c r="C14" s="128" t="s">
        <v>292</v>
      </c>
      <c r="D14" s="19" t="s">
        <v>11</v>
      </c>
      <c r="E14" s="19">
        <v>5</v>
      </c>
      <c r="F14" s="21">
        <v>5</v>
      </c>
      <c r="G14" s="19">
        <v>5</v>
      </c>
      <c r="H14" s="19"/>
      <c r="J14" s="125" t="s">
        <v>291</v>
      </c>
      <c r="K14" s="128" t="s">
        <v>292</v>
      </c>
      <c r="L14" s="19" t="s">
        <v>209</v>
      </c>
      <c r="M14" s="19" t="s">
        <v>205</v>
      </c>
      <c r="N14" s="44" t="s">
        <v>205</v>
      </c>
      <c r="O14" s="44" t="s">
        <v>210</v>
      </c>
      <c r="P14" s="44" t="s">
        <v>211</v>
      </c>
    </row>
    <row r="15" s="2" customFormat="1" ht="51" customHeight="1" spans="2:16">
      <c r="B15" s="125"/>
      <c r="C15" s="128" t="s">
        <v>293</v>
      </c>
      <c r="D15" s="44" t="s">
        <v>11</v>
      </c>
      <c r="E15" s="19">
        <v>15</v>
      </c>
      <c r="F15" s="21">
        <v>15</v>
      </c>
      <c r="G15" s="19">
        <v>15</v>
      </c>
      <c r="H15" s="48"/>
      <c r="J15" s="125"/>
      <c r="K15" s="128" t="s">
        <v>293</v>
      </c>
      <c r="L15" s="19" t="s">
        <v>209</v>
      </c>
      <c r="M15" s="19" t="s">
        <v>205</v>
      </c>
      <c r="N15" s="44" t="s">
        <v>205</v>
      </c>
      <c r="O15" s="44" t="s">
        <v>210</v>
      </c>
      <c r="P15" s="44" t="s">
        <v>211</v>
      </c>
    </row>
    <row r="16" s="2" customFormat="1" ht="51" customHeight="1" spans="2:16">
      <c r="B16" s="125"/>
      <c r="C16" s="128" t="s">
        <v>294</v>
      </c>
      <c r="D16" s="44" t="s">
        <v>11</v>
      </c>
      <c r="E16" s="19">
        <v>20</v>
      </c>
      <c r="F16" s="21">
        <v>20</v>
      </c>
      <c r="G16" s="19">
        <v>20</v>
      </c>
      <c r="H16" s="72"/>
      <c r="J16" s="125"/>
      <c r="K16" s="128" t="s">
        <v>295</v>
      </c>
      <c r="L16" s="19" t="s">
        <v>209</v>
      </c>
      <c r="M16" s="19" t="s">
        <v>205</v>
      </c>
      <c r="N16" s="44" t="s">
        <v>205</v>
      </c>
      <c r="O16" s="44" t="s">
        <v>210</v>
      </c>
      <c r="P16" s="44" t="s">
        <v>211</v>
      </c>
    </row>
    <row r="17" s="2" customFormat="1" ht="51" customHeight="1" spans="2:16">
      <c r="B17" s="127" t="s">
        <v>296</v>
      </c>
      <c r="C17" s="128" t="s">
        <v>297</v>
      </c>
      <c r="D17" s="19" t="s">
        <v>11</v>
      </c>
      <c r="E17" s="19">
        <v>10</v>
      </c>
      <c r="F17" s="21">
        <v>0</v>
      </c>
      <c r="G17" s="19">
        <v>10</v>
      </c>
      <c r="H17" s="48" t="s">
        <v>298</v>
      </c>
      <c r="J17" s="127" t="s">
        <v>296</v>
      </c>
      <c r="K17" s="128" t="s">
        <v>297</v>
      </c>
      <c r="L17" s="19" t="s">
        <v>209</v>
      </c>
      <c r="M17" s="19" t="s">
        <v>205</v>
      </c>
      <c r="N17" s="44" t="s">
        <v>205</v>
      </c>
      <c r="O17" s="44" t="s">
        <v>210</v>
      </c>
      <c r="P17" s="44" t="s">
        <v>211</v>
      </c>
    </row>
    <row r="18" s="2" customFormat="1" ht="51" customHeight="1" spans="2:16">
      <c r="B18" s="127"/>
      <c r="C18" s="128" t="s">
        <v>299</v>
      </c>
      <c r="D18" s="19" t="s">
        <v>11</v>
      </c>
      <c r="E18" s="19">
        <v>5</v>
      </c>
      <c r="F18" s="21">
        <v>5</v>
      </c>
      <c r="G18" s="19">
        <v>5</v>
      </c>
      <c r="H18" s="72"/>
      <c r="J18" s="127"/>
      <c r="K18" s="128" t="s">
        <v>299</v>
      </c>
      <c r="L18" s="19" t="s">
        <v>209</v>
      </c>
      <c r="M18" s="19" t="s">
        <v>205</v>
      </c>
      <c r="N18" s="44" t="s">
        <v>205</v>
      </c>
      <c r="O18" s="44" t="s">
        <v>210</v>
      </c>
      <c r="P18" s="44" t="s">
        <v>211</v>
      </c>
    </row>
    <row r="19" s="2" customFormat="1" ht="51" customHeight="1" spans="2:16">
      <c r="B19" s="129" t="s">
        <v>222</v>
      </c>
      <c r="C19" s="128" t="s">
        <v>300</v>
      </c>
      <c r="D19" s="19" t="s">
        <v>11</v>
      </c>
      <c r="E19" s="19">
        <v>20</v>
      </c>
      <c r="F19" s="21">
        <v>20</v>
      </c>
      <c r="G19" s="19">
        <v>20</v>
      </c>
      <c r="H19" s="48"/>
      <c r="J19" s="129" t="s">
        <v>222</v>
      </c>
      <c r="K19" s="128" t="s">
        <v>300</v>
      </c>
      <c r="L19" s="19" t="s">
        <v>209</v>
      </c>
      <c r="M19" s="19" t="s">
        <v>205</v>
      </c>
      <c r="N19" s="44" t="s">
        <v>205</v>
      </c>
      <c r="O19" s="44" t="s">
        <v>210</v>
      </c>
      <c r="P19" s="44" t="s">
        <v>211</v>
      </c>
    </row>
    <row r="20" s="2" customFormat="1" ht="51" customHeight="1" spans="2:16">
      <c r="B20" s="129"/>
      <c r="C20" s="128" t="s">
        <v>301</v>
      </c>
      <c r="D20" s="19" t="s">
        <v>11</v>
      </c>
      <c r="E20" s="19">
        <v>20</v>
      </c>
      <c r="F20" s="21">
        <v>20</v>
      </c>
      <c r="G20" s="19">
        <v>20</v>
      </c>
      <c r="H20" s="48"/>
      <c r="J20" s="129"/>
      <c r="K20" s="128" t="s">
        <v>301</v>
      </c>
      <c r="L20" s="19" t="s">
        <v>209</v>
      </c>
      <c r="M20" s="19" t="s">
        <v>205</v>
      </c>
      <c r="N20" s="44" t="s">
        <v>205</v>
      </c>
      <c r="O20" s="44" t="s">
        <v>210</v>
      </c>
      <c r="P20" s="44" t="s">
        <v>211</v>
      </c>
    </row>
    <row r="21" s="2" customFormat="1" ht="45.75" customHeight="1" spans="2:16">
      <c r="B21" s="125" t="s">
        <v>302</v>
      </c>
      <c r="C21" s="63" t="s">
        <v>303</v>
      </c>
      <c r="D21" s="19" t="s">
        <v>11</v>
      </c>
      <c r="E21" s="19">
        <v>5</v>
      </c>
      <c r="F21" s="21">
        <v>5</v>
      </c>
      <c r="G21" s="19">
        <v>5</v>
      </c>
      <c r="H21" s="48"/>
      <c r="J21" s="125" t="s">
        <v>302</v>
      </c>
      <c r="K21" s="63" t="s">
        <v>303</v>
      </c>
      <c r="L21" s="19" t="s">
        <v>209</v>
      </c>
      <c r="M21" s="19" t="s">
        <v>205</v>
      </c>
      <c r="N21" s="44" t="s">
        <v>205</v>
      </c>
      <c r="O21" s="44" t="s">
        <v>210</v>
      </c>
      <c r="P21" s="44" t="s">
        <v>211</v>
      </c>
    </row>
    <row r="22" s="2" customFormat="1" ht="51" customHeight="1" spans="2:16">
      <c r="B22" s="130" t="s">
        <v>181</v>
      </c>
      <c r="C22" s="20" t="s">
        <v>260</v>
      </c>
      <c r="D22" s="19" t="s">
        <v>11</v>
      </c>
      <c r="E22" s="19">
        <v>15</v>
      </c>
      <c r="F22" s="21">
        <v>15</v>
      </c>
      <c r="G22" s="19">
        <v>15</v>
      </c>
      <c r="H22" s="72"/>
      <c r="J22" s="130" t="s">
        <v>181</v>
      </c>
      <c r="K22" s="20" t="s">
        <v>260</v>
      </c>
      <c r="L22" s="19" t="s">
        <v>209</v>
      </c>
      <c r="M22" s="19" t="s">
        <v>205</v>
      </c>
      <c r="N22" s="44" t="s">
        <v>205</v>
      </c>
      <c r="O22" s="44" t="s">
        <v>210</v>
      </c>
      <c r="P22" s="44" t="s">
        <v>211</v>
      </c>
    </row>
    <row r="23" s="2" customFormat="1" ht="51" customHeight="1" spans="2:16">
      <c r="B23" s="127" t="s">
        <v>120</v>
      </c>
      <c r="C23" s="20" t="s">
        <v>262</v>
      </c>
      <c r="D23" s="19" t="s">
        <v>11</v>
      </c>
      <c r="E23" s="19">
        <v>20</v>
      </c>
      <c r="F23" s="21">
        <v>20</v>
      </c>
      <c r="G23" s="19">
        <v>20</v>
      </c>
      <c r="H23" s="48"/>
      <c r="J23" s="127" t="s">
        <v>120</v>
      </c>
      <c r="K23" s="20" t="s">
        <v>262</v>
      </c>
      <c r="L23" s="19" t="s">
        <v>209</v>
      </c>
      <c r="M23" s="19" t="s">
        <v>205</v>
      </c>
      <c r="N23" s="44" t="s">
        <v>205</v>
      </c>
      <c r="O23" s="44" t="s">
        <v>210</v>
      </c>
      <c r="P23" s="44" t="s">
        <v>211</v>
      </c>
    </row>
    <row r="24" s="2" customFormat="1" ht="51" customHeight="1" spans="2:16">
      <c r="B24" s="127"/>
      <c r="C24" s="23" t="s">
        <v>263</v>
      </c>
      <c r="D24" s="19" t="s">
        <v>11</v>
      </c>
      <c r="E24" s="19">
        <v>15</v>
      </c>
      <c r="F24" s="21">
        <v>15</v>
      </c>
      <c r="G24" s="19">
        <v>15</v>
      </c>
      <c r="H24" s="72"/>
      <c r="J24" s="127"/>
      <c r="K24" s="23" t="s">
        <v>263</v>
      </c>
      <c r="L24" s="19" t="s">
        <v>209</v>
      </c>
      <c r="M24" s="19" t="s">
        <v>205</v>
      </c>
      <c r="N24" s="44" t="s">
        <v>205</v>
      </c>
      <c r="O24" s="44" t="s">
        <v>210</v>
      </c>
      <c r="P24" s="44" t="s">
        <v>211</v>
      </c>
    </row>
    <row r="25" s="2" customFormat="1" ht="51" customHeight="1" spans="2:16">
      <c r="B25" s="127"/>
      <c r="C25" s="20" t="s">
        <v>304</v>
      </c>
      <c r="D25" s="19" t="s">
        <v>11</v>
      </c>
      <c r="E25" s="19">
        <v>10</v>
      </c>
      <c r="F25" s="21">
        <v>10</v>
      </c>
      <c r="G25" s="19">
        <v>10</v>
      </c>
      <c r="H25" s="72"/>
      <c r="J25" s="127"/>
      <c r="K25" s="20" t="s">
        <v>264</v>
      </c>
      <c r="L25" s="19" t="s">
        <v>209</v>
      </c>
      <c r="M25" s="19" t="s">
        <v>205</v>
      </c>
      <c r="N25" s="44" t="s">
        <v>205</v>
      </c>
      <c r="O25" s="44" t="s">
        <v>210</v>
      </c>
      <c r="P25" s="44" t="s">
        <v>211</v>
      </c>
    </row>
    <row r="26" s="2" customFormat="1" ht="51" customHeight="1" spans="2:16">
      <c r="B26" s="127" t="s">
        <v>234</v>
      </c>
      <c r="C26" s="128" t="s">
        <v>243</v>
      </c>
      <c r="D26" s="19" t="s">
        <v>11</v>
      </c>
      <c r="E26" s="19">
        <v>10</v>
      </c>
      <c r="F26" s="21">
        <v>10</v>
      </c>
      <c r="G26" s="19">
        <v>10</v>
      </c>
      <c r="H26" s="72"/>
      <c r="J26" s="127" t="s">
        <v>234</v>
      </c>
      <c r="K26" s="128" t="s">
        <v>243</v>
      </c>
      <c r="L26" s="19" t="s">
        <v>209</v>
      </c>
      <c r="M26" s="19" t="s">
        <v>205</v>
      </c>
      <c r="N26" s="44" t="s">
        <v>205</v>
      </c>
      <c r="O26" s="44" t="s">
        <v>210</v>
      </c>
      <c r="P26" s="44" t="s">
        <v>211</v>
      </c>
    </row>
    <row r="27" s="2" customFormat="1" ht="51" customHeight="1" spans="2:16">
      <c r="B27" s="130" t="s">
        <v>305</v>
      </c>
      <c r="C27" s="23" t="s">
        <v>269</v>
      </c>
      <c r="D27" s="44" t="s">
        <v>11</v>
      </c>
      <c r="E27" s="19">
        <v>15</v>
      </c>
      <c r="F27" s="21">
        <v>15</v>
      </c>
      <c r="G27" s="19">
        <v>15</v>
      </c>
      <c r="H27" s="72"/>
      <c r="J27" s="131" t="s">
        <v>305</v>
      </c>
      <c r="K27" s="51" t="s">
        <v>269</v>
      </c>
      <c r="L27" s="50" t="s">
        <v>209</v>
      </c>
      <c r="M27" s="50" t="s">
        <v>205</v>
      </c>
      <c r="N27" s="132" t="s">
        <v>205</v>
      </c>
      <c r="O27" s="132" t="s">
        <v>210</v>
      </c>
      <c r="P27" s="132" t="s">
        <v>211</v>
      </c>
    </row>
    <row r="28" s="2" customFormat="1" ht="51" customHeight="1" spans="2:16">
      <c r="B28" s="130"/>
      <c r="C28" s="23" t="s">
        <v>306</v>
      </c>
      <c r="D28" s="44" t="s">
        <v>11</v>
      </c>
      <c r="E28" s="19">
        <v>5</v>
      </c>
      <c r="F28" s="21">
        <v>5</v>
      </c>
      <c r="G28" s="19">
        <v>5</v>
      </c>
      <c r="H28" s="72"/>
      <c r="J28" s="133"/>
      <c r="K28" s="53"/>
      <c r="L28" s="52"/>
      <c r="M28" s="52"/>
      <c r="N28" s="67"/>
      <c r="O28" s="67"/>
      <c r="P28" s="67"/>
    </row>
    <row r="29" s="2" customFormat="1" ht="51" customHeight="1" spans="2:16">
      <c r="B29" s="130"/>
      <c r="C29" s="65" t="s">
        <v>270</v>
      </c>
      <c r="D29" s="19"/>
      <c r="E29" s="19">
        <f>SUM(E2:E28)</f>
        <v>265</v>
      </c>
      <c r="F29" s="21">
        <f>SUM(F2:F28)</f>
        <v>225</v>
      </c>
      <c r="G29" s="19">
        <f>SUM(G2:G28)</f>
        <v>245</v>
      </c>
      <c r="H29" s="72"/>
      <c r="J29" s="134"/>
      <c r="K29" s="91"/>
      <c r="L29" s="52"/>
      <c r="M29" s="52"/>
      <c r="N29" s="67"/>
      <c r="O29" s="67"/>
      <c r="P29" s="67"/>
    </row>
    <row r="30" s="2" customFormat="1" ht="51" customHeight="1" spans="2:16">
      <c r="B30" s="130"/>
      <c r="C30" s="65" t="s">
        <v>271</v>
      </c>
      <c r="D30" s="19"/>
      <c r="E30" s="19">
        <f>+(E29/E29)*100</f>
        <v>100</v>
      </c>
      <c r="F30" s="26">
        <f>+F29/E29*100</f>
        <v>84.9056603773585</v>
      </c>
      <c r="G30" s="27">
        <f>+G29/E29*100</f>
        <v>92.4528301886792</v>
      </c>
      <c r="H30" s="72"/>
      <c r="J30" s="135"/>
      <c r="K30" s="24"/>
      <c r="L30" s="4"/>
      <c r="M30" s="4"/>
      <c r="N30" s="55"/>
      <c r="O30" s="55"/>
      <c r="P30" s="55"/>
    </row>
    <row r="31" s="2" customFormat="1" ht="51" customHeight="1" spans="2:16">
      <c r="B31" s="130"/>
      <c r="C31" s="65"/>
      <c r="D31" s="19"/>
      <c r="E31" s="19"/>
      <c r="F31" s="26"/>
      <c r="G31" s="27"/>
      <c r="H31" s="19"/>
      <c r="J31" s="136"/>
      <c r="L31" s="4"/>
      <c r="M31" s="4"/>
      <c r="N31" s="55"/>
      <c r="O31" s="55"/>
      <c r="P31" s="55"/>
    </row>
    <row r="32" s="2" customFormat="1" ht="51" customHeight="1" spans="2:16">
      <c r="B32" s="48"/>
      <c r="C32" s="65"/>
      <c r="D32" s="19"/>
      <c r="E32" s="19"/>
      <c r="F32" s="26"/>
      <c r="G32" s="27"/>
      <c r="H32" s="19"/>
      <c r="J32" s="135"/>
      <c r="L32" s="4"/>
      <c r="M32" s="4"/>
      <c r="N32" s="4"/>
      <c r="O32" s="55"/>
      <c r="P32" s="55"/>
    </row>
    <row r="33" s="2" customFormat="1" ht="51" customHeight="1" spans="2:16">
      <c r="B33" s="121"/>
      <c r="C33" s="3"/>
      <c r="D33" s="4"/>
      <c r="E33" s="4"/>
      <c r="F33" s="4"/>
      <c r="G33" s="4"/>
      <c r="H33" s="4"/>
      <c r="J33" s="137"/>
      <c r="K33" s="138"/>
      <c r="L33" s="139"/>
      <c r="M33" s="139"/>
      <c r="N33" s="139"/>
      <c r="O33" s="140"/>
      <c r="P33" s="140"/>
    </row>
    <row r="34" s="2" customFormat="1" ht="51" customHeight="1" spans="2:16">
      <c r="B34" s="121"/>
      <c r="D34" s="4"/>
      <c r="E34" s="4"/>
      <c r="F34" s="4"/>
      <c r="G34" s="4"/>
      <c r="H34" s="4"/>
      <c r="J34" s="141"/>
      <c r="K34" s="138"/>
      <c r="L34" s="139"/>
      <c r="M34" s="139"/>
      <c r="N34" s="139"/>
      <c r="O34" s="140"/>
      <c r="P34" s="140"/>
    </row>
    <row r="35" s="2" customFormat="1" ht="51" customHeight="1" spans="2:16">
      <c r="B35" s="121"/>
      <c r="C35" s="3"/>
      <c r="D35" s="4"/>
      <c r="E35" s="4"/>
      <c r="F35" s="4"/>
      <c r="G35" s="4"/>
      <c r="H35" s="4"/>
      <c r="J35" s="141"/>
      <c r="K35" s="138"/>
      <c r="L35" s="139"/>
      <c r="M35" s="139"/>
      <c r="N35" s="139"/>
      <c r="O35" s="140"/>
      <c r="P35" s="140"/>
    </row>
    <row r="36" s="2" customFormat="1" ht="51" customHeight="1" spans="2:16">
      <c r="B36" s="121"/>
      <c r="C36" s="3"/>
      <c r="D36" s="4"/>
      <c r="E36" s="4"/>
      <c r="F36" s="4"/>
      <c r="G36" s="4"/>
      <c r="H36" s="4"/>
      <c r="J36" s="141"/>
      <c r="K36" s="138"/>
      <c r="L36" s="139"/>
      <c r="M36" s="139"/>
      <c r="N36" s="139"/>
      <c r="O36" s="140"/>
      <c r="P36" s="140"/>
    </row>
    <row r="37" s="2" customFormat="1" ht="51" customHeight="1" spans="2:16">
      <c r="B37" s="121"/>
      <c r="C37" s="24"/>
      <c r="D37" s="4"/>
      <c r="E37" s="4"/>
      <c r="F37" s="4"/>
      <c r="G37" s="4"/>
      <c r="H37" s="4"/>
      <c r="J37" s="141"/>
      <c r="K37" s="138"/>
      <c r="L37" s="139"/>
      <c r="M37" s="139"/>
      <c r="N37" s="139"/>
      <c r="O37" s="140"/>
      <c r="P37" s="140"/>
    </row>
    <row r="38" s="2" customFormat="1" ht="51" customHeight="1" spans="2:17">
      <c r="B38" s="121"/>
      <c r="C38" s="24"/>
      <c r="D38" s="4"/>
      <c r="E38" s="4"/>
      <c r="F38" s="4"/>
      <c r="G38" s="4"/>
      <c r="H38" s="4"/>
      <c r="J38" s="141"/>
      <c r="K38" s="138"/>
      <c r="L38" s="139"/>
      <c r="M38" s="139"/>
      <c r="N38" s="139"/>
      <c r="O38" s="140"/>
      <c r="P38" s="140"/>
      <c r="Q38" s="2" t="s">
        <v>272</v>
      </c>
    </row>
    <row r="39" s="2" customFormat="1" ht="51" customHeight="1" spans="2:16">
      <c r="B39" s="121"/>
      <c r="C39" s="3"/>
      <c r="D39" s="4"/>
      <c r="E39" s="4"/>
      <c r="F39" s="4"/>
      <c r="G39" s="4"/>
      <c r="H39" s="4"/>
      <c r="J39" s="137"/>
      <c r="K39" s="138"/>
      <c r="L39" s="139"/>
      <c r="M39" s="139"/>
      <c r="N39" s="139"/>
      <c r="O39" s="140"/>
      <c r="P39" s="140"/>
    </row>
    <row r="40" s="2" customFormat="1" ht="51" customHeight="1" spans="2:16">
      <c r="B40" s="121"/>
      <c r="D40" s="4"/>
      <c r="E40" s="4"/>
      <c r="F40" s="4"/>
      <c r="G40" s="4"/>
      <c r="H40" s="4"/>
      <c r="J40" s="137"/>
      <c r="K40" s="138"/>
      <c r="L40" s="139"/>
      <c r="M40" s="139"/>
      <c r="N40" s="139"/>
      <c r="O40" s="140"/>
      <c r="P40" s="140"/>
    </row>
    <row r="41" s="2" customFormat="1" ht="51" customHeight="1" spans="2:16">
      <c r="B41" s="121"/>
      <c r="C41" s="24"/>
      <c r="D41" s="4"/>
      <c r="E41" s="4"/>
      <c r="F41" s="4"/>
      <c r="G41" s="4"/>
      <c r="H41" s="4"/>
      <c r="J41" s="137"/>
      <c r="K41" s="138"/>
      <c r="L41" s="139"/>
      <c r="M41" s="139"/>
      <c r="N41" s="139"/>
      <c r="O41" s="140"/>
      <c r="P41" s="140"/>
    </row>
    <row r="42" s="2" customFormat="1" ht="51" customHeight="1" spans="2:16">
      <c r="B42" s="121"/>
      <c r="C42" s="24"/>
      <c r="D42" s="4"/>
      <c r="E42" s="4"/>
      <c r="F42" s="4"/>
      <c r="G42" s="4"/>
      <c r="H42" s="4"/>
      <c r="J42" s="141"/>
      <c r="K42" s="142"/>
      <c r="L42" s="139"/>
      <c r="M42" s="139"/>
      <c r="N42" s="139"/>
      <c r="O42" s="140"/>
      <c r="P42" s="140"/>
    </row>
    <row r="43" s="2" customFormat="1" ht="51" customHeight="1" spans="2:16">
      <c r="B43" s="121"/>
      <c r="C43" s="24"/>
      <c r="D43" s="4"/>
      <c r="E43" s="4"/>
      <c r="F43" s="4"/>
      <c r="G43" s="4"/>
      <c r="H43" s="4"/>
      <c r="J43" s="108"/>
      <c r="K43" s="138"/>
      <c r="L43" s="139"/>
      <c r="M43" s="139"/>
      <c r="N43" s="139"/>
      <c r="O43" s="140"/>
      <c r="P43" s="140"/>
    </row>
    <row r="44" s="2" customFormat="1" ht="51" customHeight="1" spans="2:16">
      <c r="B44" s="121"/>
      <c r="D44" s="4"/>
      <c r="E44" s="4"/>
      <c r="F44" s="4"/>
      <c r="G44" s="4"/>
      <c r="H44" s="4"/>
      <c r="J44" s="137"/>
      <c r="K44" s="142"/>
      <c r="L44" s="139"/>
      <c r="M44" s="139"/>
      <c r="N44" s="139"/>
      <c r="O44" s="140"/>
      <c r="P44" s="140"/>
    </row>
    <row r="45" s="2" customFormat="1" ht="51" customHeight="1" spans="2:16">
      <c r="B45" s="121"/>
      <c r="C45" s="3"/>
      <c r="D45" s="4"/>
      <c r="E45" s="4"/>
      <c r="F45" s="4"/>
      <c r="G45" s="4"/>
      <c r="H45" s="4"/>
      <c r="J45" s="108"/>
      <c r="K45" s="138"/>
      <c r="L45" s="139"/>
      <c r="M45" s="139"/>
      <c r="N45" s="139"/>
      <c r="O45" s="140"/>
      <c r="P45" s="140"/>
    </row>
    <row r="46" s="2" customFormat="1" ht="51" customHeight="1" spans="2:16">
      <c r="B46" s="121"/>
      <c r="C46" s="24"/>
      <c r="D46" s="4"/>
      <c r="E46" s="4"/>
      <c r="F46" s="4"/>
      <c r="G46" s="4"/>
      <c r="H46" s="4"/>
      <c r="J46" s="143"/>
      <c r="K46" s="144"/>
      <c r="L46" s="139"/>
      <c r="M46" s="139"/>
      <c r="N46" s="139"/>
      <c r="O46" s="139"/>
      <c r="P46" s="139"/>
    </row>
    <row r="47" s="2" customFormat="1" ht="51" customHeight="1" spans="2:16">
      <c r="B47" s="121"/>
      <c r="C47" s="24"/>
      <c r="D47" s="4"/>
      <c r="E47" s="4"/>
      <c r="F47" s="4"/>
      <c r="G47" s="4"/>
      <c r="H47" s="4"/>
      <c r="J47" s="143"/>
      <c r="K47" s="144"/>
      <c r="L47" s="139"/>
      <c r="M47" s="139"/>
      <c r="N47" s="145"/>
      <c r="O47" s="145"/>
      <c r="P47" s="139"/>
    </row>
    <row r="48" s="2" customFormat="1" ht="42" customHeight="1" spans="2:16">
      <c r="B48" s="121"/>
      <c r="C48" s="24"/>
      <c r="D48" s="4"/>
      <c r="E48" s="4"/>
      <c r="F48" s="4"/>
      <c r="G48" s="4"/>
      <c r="H48" s="4"/>
      <c r="J48" s="142"/>
      <c r="K48" s="142"/>
      <c r="L48" s="142"/>
      <c r="M48" s="142"/>
      <c r="N48" s="142"/>
      <c r="O48" s="142"/>
      <c r="P48" s="142"/>
    </row>
    <row r="49" s="2" customFormat="1" ht="61.5" customHeight="1" spans="2:16">
      <c r="B49" s="121"/>
      <c r="C49" s="3"/>
      <c r="D49" s="4"/>
      <c r="E49" s="4"/>
      <c r="F49" s="4"/>
      <c r="G49" s="4"/>
      <c r="H49" s="4"/>
      <c r="J49" s="142"/>
      <c r="K49" s="142"/>
      <c r="L49" s="142"/>
      <c r="M49" s="142"/>
      <c r="N49" s="142"/>
      <c r="O49" s="142"/>
      <c r="P49" s="142"/>
    </row>
    <row r="50" s="2" customFormat="1" ht="42" customHeight="1" spans="2:11">
      <c r="B50" s="121"/>
      <c r="C50" s="3"/>
      <c r="D50" s="4"/>
      <c r="E50" s="4"/>
      <c r="F50" s="4"/>
      <c r="G50" s="4"/>
      <c r="H50" s="4"/>
      <c r="K50" s="24"/>
    </row>
    <row r="51" s="2" customFormat="1" ht="45" customHeight="1" spans="2:11">
      <c r="B51" s="121"/>
      <c r="C51" s="3"/>
      <c r="D51" s="4"/>
      <c r="E51" s="4"/>
      <c r="F51" s="4"/>
      <c r="G51" s="4"/>
      <c r="H51" s="4"/>
      <c r="K51" s="24"/>
    </row>
    <row r="52" s="2" customFormat="1" ht="37.5" customHeight="1" spans="2:11">
      <c r="B52" s="121"/>
      <c r="C52" s="3"/>
      <c r="D52" s="4"/>
      <c r="E52" s="4"/>
      <c r="F52" s="4"/>
      <c r="G52" s="4"/>
      <c r="H52" s="4"/>
      <c r="K52" s="24"/>
    </row>
    <row r="53" s="2" customFormat="1" ht="30" customHeight="1" spans="2:11">
      <c r="B53" s="121"/>
      <c r="C53" s="24"/>
      <c r="D53" s="4"/>
      <c r="E53" s="4"/>
      <c r="F53" s="4"/>
      <c r="G53" s="4"/>
      <c r="H53" s="4"/>
      <c r="K53" s="24"/>
    </row>
    <row r="54" s="2" customFormat="1" ht="39.75" customHeight="1" spans="2:11">
      <c r="B54" s="121"/>
      <c r="C54" s="24"/>
      <c r="D54" s="4"/>
      <c r="E54" s="4"/>
      <c r="F54" s="4"/>
      <c r="G54" s="4"/>
      <c r="H54" s="4"/>
      <c r="K54" s="24"/>
    </row>
    <row r="55" s="2" customFormat="1" ht="55.5" customHeight="1" spans="2:11">
      <c r="B55" s="121"/>
      <c r="C55" s="24"/>
      <c r="D55" s="4"/>
      <c r="E55" s="4"/>
      <c r="F55" s="4"/>
      <c r="G55" s="4"/>
      <c r="H55" s="4"/>
      <c r="K55" s="24"/>
    </row>
    <row r="56" s="2" customFormat="1" ht="30" customHeight="1" spans="2:8">
      <c r="B56" s="121"/>
      <c r="C56" s="24"/>
      <c r="D56" s="4"/>
      <c r="E56" s="4"/>
      <c r="F56" s="4"/>
      <c r="G56" s="4"/>
      <c r="H56" s="4"/>
    </row>
    <row r="57" s="2" customFormat="1" ht="30" customHeight="1" spans="2:11">
      <c r="B57" s="121"/>
      <c r="C57" s="24"/>
      <c r="D57" s="4"/>
      <c r="E57" s="4"/>
      <c r="F57" s="4"/>
      <c r="G57" s="4"/>
      <c r="H57" s="4"/>
      <c r="K57" s="24"/>
    </row>
    <row r="58" s="2" customFormat="1" ht="30" customHeight="1" spans="2:11">
      <c r="B58" s="121"/>
      <c r="C58" s="3"/>
      <c r="D58" s="4"/>
      <c r="E58" s="4"/>
      <c r="F58" s="4"/>
      <c r="G58" s="4"/>
      <c r="H58" s="4"/>
      <c r="K58" s="24"/>
    </row>
    <row r="59" s="2" customFormat="1" ht="30" customHeight="1" spans="2:8">
      <c r="B59" s="121"/>
      <c r="C59" s="24"/>
      <c r="D59" s="4"/>
      <c r="E59" s="4"/>
      <c r="F59" s="4"/>
      <c r="G59" s="4"/>
      <c r="H59" s="4"/>
    </row>
    <row r="60" s="2" customFormat="1" ht="30" customHeight="1" spans="2:8">
      <c r="B60" s="121"/>
      <c r="C60" s="24"/>
      <c r="D60" s="4"/>
      <c r="E60" s="4"/>
      <c r="F60" s="4"/>
      <c r="G60" s="4"/>
      <c r="H60" s="4"/>
    </row>
    <row r="61" s="2" customFormat="1" ht="30" customHeight="1" spans="2:8">
      <c r="B61" s="121"/>
      <c r="C61" s="24"/>
      <c r="D61" s="4"/>
      <c r="E61" s="4"/>
      <c r="F61" s="4"/>
      <c r="G61" s="4"/>
      <c r="H61" s="4"/>
    </row>
    <row r="62" s="2" customFormat="1" ht="39.75" customHeight="1" spans="2:8">
      <c r="B62" s="121"/>
      <c r="C62" s="24"/>
      <c r="D62" s="4"/>
      <c r="E62" s="4"/>
      <c r="F62" s="4"/>
      <c r="G62" s="4"/>
      <c r="H62" s="4"/>
    </row>
    <row r="63" s="2" customFormat="1" ht="39.75" customHeight="1" spans="2:8">
      <c r="B63" s="121"/>
      <c r="C63" s="24"/>
      <c r="D63" s="4"/>
      <c r="E63" s="4"/>
      <c r="F63" s="4"/>
      <c r="G63" s="4"/>
      <c r="H63" s="4"/>
    </row>
    <row r="64" s="2" customFormat="1" ht="39.75" customHeight="1" spans="2:8">
      <c r="B64" s="121"/>
      <c r="C64" s="24"/>
      <c r="D64" s="4"/>
      <c r="E64" s="4"/>
      <c r="F64" s="4"/>
      <c r="G64" s="4"/>
      <c r="H64" s="4"/>
    </row>
    <row r="65" s="2" customFormat="1" ht="39.75" customHeight="1" spans="2:8">
      <c r="B65" s="121"/>
      <c r="C65" s="24"/>
      <c r="D65" s="4"/>
      <c r="E65" s="4"/>
      <c r="F65" s="4"/>
      <c r="G65" s="4"/>
      <c r="H65" s="4"/>
    </row>
    <row r="66" s="2" customFormat="1" ht="33.75" customHeight="1" spans="2:8">
      <c r="B66" s="121"/>
      <c r="C66" s="24"/>
      <c r="D66" s="4"/>
      <c r="E66" s="4"/>
      <c r="F66" s="4"/>
      <c r="G66" s="4"/>
      <c r="H66" s="4"/>
    </row>
    <row r="67" s="2" customFormat="1" ht="30" customHeight="1" spans="2:8">
      <c r="B67" s="121"/>
      <c r="C67" s="3"/>
      <c r="D67" s="4"/>
      <c r="E67" s="4"/>
      <c r="F67" s="4"/>
      <c r="G67" s="4"/>
      <c r="H67" s="4"/>
    </row>
    <row r="68" s="2" customFormat="1" ht="30" customHeight="1" spans="2:8">
      <c r="B68" s="121"/>
      <c r="C68" s="24"/>
      <c r="D68" s="4"/>
      <c r="E68" s="4"/>
      <c r="F68" s="4"/>
      <c r="G68" s="4"/>
      <c r="H68" s="5"/>
    </row>
    <row r="69" s="2" customFormat="1" ht="30" customHeight="1" spans="2:8">
      <c r="B69" s="121"/>
      <c r="D69" s="4"/>
      <c r="E69" s="4"/>
      <c r="F69" s="4"/>
      <c r="G69" s="4"/>
      <c r="H69" s="5"/>
    </row>
    <row r="70" s="2" customFormat="1" ht="30" customHeight="1" spans="2:8">
      <c r="B70" s="121"/>
      <c r="C70" s="24"/>
      <c r="D70" s="4"/>
      <c r="E70" s="4"/>
      <c r="F70" s="4"/>
      <c r="G70" s="4"/>
      <c r="H70" s="5"/>
    </row>
    <row r="71" s="2" customFormat="1" ht="30" customHeight="1" spans="2:8">
      <c r="B71" s="121"/>
      <c r="C71" s="24"/>
      <c r="D71" s="4"/>
      <c r="E71" s="4"/>
      <c r="F71" s="4"/>
      <c r="G71" s="4"/>
      <c r="H71" s="5"/>
    </row>
    <row r="72" s="2" customFormat="1" ht="30" customHeight="1" spans="2:8">
      <c r="B72" s="121"/>
      <c r="C72" s="24"/>
      <c r="D72" s="4"/>
      <c r="E72" s="4"/>
      <c r="F72" s="4"/>
      <c r="G72" s="4"/>
      <c r="H72" s="5"/>
    </row>
    <row r="73" s="2" customFormat="1" ht="30" customHeight="1" spans="2:8">
      <c r="B73" s="121"/>
      <c r="C73" s="3"/>
      <c r="D73" s="4"/>
      <c r="E73" s="4"/>
      <c r="F73" s="4"/>
      <c r="G73" s="4"/>
      <c r="H73" s="5"/>
    </row>
    <row r="74" s="2" customFormat="1" ht="30" customHeight="1" spans="2:8">
      <c r="B74" s="121"/>
      <c r="D74" s="4"/>
      <c r="E74" s="4"/>
      <c r="F74" s="4"/>
      <c r="G74" s="4"/>
      <c r="H74" s="5"/>
    </row>
    <row r="75" s="2" customFormat="1" ht="30" customHeight="1" spans="2:8">
      <c r="B75" s="121"/>
      <c r="D75" s="4"/>
      <c r="E75" s="4"/>
      <c r="F75" s="4"/>
      <c r="G75" s="4"/>
      <c r="H75" s="5"/>
    </row>
    <row r="76" s="2" customFormat="1" ht="30" customHeight="1" spans="2:8">
      <c r="B76" s="121"/>
      <c r="C76" s="24"/>
      <c r="D76" s="4"/>
      <c r="E76" s="4"/>
      <c r="F76" s="4"/>
      <c r="G76" s="4"/>
      <c r="H76" s="5"/>
    </row>
    <row r="77" s="2" customFormat="1" ht="30" customHeight="1" spans="2:8">
      <c r="B77" s="121"/>
      <c r="C77" s="24"/>
      <c r="D77" s="4"/>
      <c r="E77" s="4"/>
      <c r="F77" s="4"/>
      <c r="G77" s="4"/>
      <c r="H77" s="5"/>
    </row>
    <row r="78" s="2" customFormat="1" ht="30" customHeight="1" spans="2:8">
      <c r="B78" s="121"/>
      <c r="C78" s="24"/>
      <c r="D78" s="4"/>
      <c r="E78" s="4"/>
      <c r="F78" s="4"/>
      <c r="G78" s="4"/>
      <c r="H78" s="5"/>
    </row>
    <row r="79" s="2" customFormat="1" ht="30" customHeight="1" spans="2:8">
      <c r="B79" s="121"/>
      <c r="C79" s="3"/>
      <c r="D79" s="4"/>
      <c r="E79" s="4"/>
      <c r="F79" s="4"/>
      <c r="G79" s="4"/>
      <c r="H79" s="5"/>
    </row>
    <row r="80" s="2" customFormat="1" ht="30" customHeight="1" spans="2:8">
      <c r="B80" s="121"/>
      <c r="C80" s="24"/>
      <c r="D80" s="4"/>
      <c r="E80" s="4"/>
      <c r="F80" s="4"/>
      <c r="G80" s="4"/>
      <c r="H80" s="5"/>
    </row>
    <row r="81" s="2" customFormat="1" ht="30" customHeight="1" spans="2:8">
      <c r="B81" s="121"/>
      <c r="C81" s="24"/>
      <c r="D81" s="4"/>
      <c r="E81" s="4"/>
      <c r="F81" s="4"/>
      <c r="G81" s="4"/>
      <c r="H81" s="5"/>
    </row>
    <row r="82" s="2" customFormat="1" ht="30" customHeight="1" spans="2:8">
      <c r="B82" s="121"/>
      <c r="C82" s="3"/>
      <c r="D82" s="4"/>
      <c r="E82" s="4"/>
      <c r="F82" s="4"/>
      <c r="G82" s="4"/>
      <c r="H82" s="5"/>
    </row>
    <row r="83" s="2" customFormat="1" ht="30" customHeight="1" spans="2:8">
      <c r="B83" s="121"/>
      <c r="C83" s="24"/>
      <c r="D83" s="4"/>
      <c r="E83" s="4"/>
      <c r="F83" s="4"/>
      <c r="G83" s="4"/>
      <c r="H83" s="5"/>
    </row>
    <row r="84" s="2" customFormat="1" ht="30" customHeight="1" spans="2:8">
      <c r="B84" s="121"/>
      <c r="C84" s="24"/>
      <c r="D84" s="4"/>
      <c r="E84" s="4"/>
      <c r="F84" s="4"/>
      <c r="G84" s="4"/>
      <c r="H84" s="5"/>
    </row>
    <row r="85" s="2" customFormat="1" ht="30" customHeight="1" spans="2:8">
      <c r="B85" s="121"/>
      <c r="C85" s="24"/>
      <c r="D85" s="4"/>
      <c r="E85" s="4"/>
      <c r="F85" s="4"/>
      <c r="G85" s="4"/>
      <c r="H85" s="5"/>
    </row>
    <row r="86" s="2" customFormat="1" ht="31.5" customHeight="1" spans="2:8">
      <c r="B86" s="121"/>
      <c r="C86" s="24"/>
      <c r="D86" s="4"/>
      <c r="E86" s="4"/>
      <c r="F86" s="4"/>
      <c r="G86" s="4"/>
      <c r="H86" s="5"/>
    </row>
    <row r="87" s="2" customFormat="1" ht="30" customHeight="1" spans="2:8">
      <c r="B87" s="121"/>
      <c r="C87" s="3"/>
      <c r="D87" s="4"/>
      <c r="E87" s="4"/>
      <c r="F87" s="4"/>
      <c r="G87" s="4"/>
      <c r="H87" s="5"/>
    </row>
    <row r="88" s="2" customFormat="1" ht="30" customHeight="1" spans="2:8">
      <c r="B88" s="121"/>
      <c r="C88" s="3"/>
      <c r="D88" s="4"/>
      <c r="E88" s="4"/>
      <c r="F88" s="4"/>
      <c r="G88" s="4"/>
      <c r="H88" s="5"/>
    </row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</sheetData>
  <autoFilter ref="B4:I96">
    <extLst/>
  </autoFilter>
  <mergeCells count="20">
    <mergeCell ref="B2:H2"/>
    <mergeCell ref="J2:P2"/>
    <mergeCell ref="B3:H3"/>
    <mergeCell ref="J3:P3"/>
    <mergeCell ref="S5:T5"/>
    <mergeCell ref="S6:T6"/>
    <mergeCell ref="S7:T7"/>
    <mergeCell ref="S8:T8"/>
    <mergeCell ref="B6:B9"/>
    <mergeCell ref="B10:B13"/>
    <mergeCell ref="B14:B16"/>
    <mergeCell ref="B17:B18"/>
    <mergeCell ref="B19:B20"/>
    <mergeCell ref="B23:B25"/>
    <mergeCell ref="J6:J9"/>
    <mergeCell ref="J10:J13"/>
    <mergeCell ref="J14:J16"/>
    <mergeCell ref="J17:J18"/>
    <mergeCell ref="J19:J20"/>
    <mergeCell ref="J23:J25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B1:S84"/>
  <sheetViews>
    <sheetView zoomScale="85" zoomScaleNormal="85" workbookViewId="0">
      <pane ySplit="5" topLeftCell="A6" activePane="bottomLeft" state="frozen"/>
      <selection/>
      <selection pane="bottomLeft" activeCell="H8" sqref="H8"/>
    </sheetView>
  </sheetViews>
  <sheetFormatPr defaultColWidth="8.88888888888889" defaultRowHeight="15.6"/>
  <cols>
    <col min="1" max="1" width="8.88888888888889" style="3"/>
    <col min="2" max="2" width="7" style="4" customWidth="1"/>
    <col min="3" max="3" width="72.4444444444444" style="3" customWidth="1"/>
    <col min="4" max="4" width="17.7777777777778" style="5" customWidth="1"/>
    <col min="5" max="5" width="17.7777777777778" style="4" customWidth="1"/>
    <col min="6" max="6" width="17.7777777777778" style="5" customWidth="1"/>
    <col min="7" max="7" width="15.2222222222222" style="5" customWidth="1"/>
    <col min="8" max="8" width="64" style="3" customWidth="1"/>
    <col min="9" max="9" width="8.88888888888889" style="3"/>
    <col min="10" max="10" width="8.11111111111111" style="3" customWidth="1"/>
    <col min="11" max="11" width="72.7777777777778" style="3" customWidth="1"/>
    <col min="12" max="12" width="21.1111111111111" style="3" customWidth="1"/>
    <col min="13" max="15" width="21.1111111111111" style="116" customWidth="1"/>
    <col min="16" max="16384" width="8.88888888888889" style="3"/>
  </cols>
  <sheetData>
    <row r="1" ht="15" customHeight="1" spans="2:7">
      <c r="B1" s="54"/>
      <c r="C1" s="77"/>
      <c r="D1" s="6"/>
      <c r="E1" s="54"/>
      <c r="F1" s="6"/>
      <c r="G1" s="6"/>
    </row>
    <row r="2" ht="18" customHeight="1" spans="2:8">
      <c r="B2" s="117"/>
      <c r="C2" s="117"/>
      <c r="D2" s="117"/>
      <c r="E2" s="117"/>
      <c r="F2" s="117"/>
      <c r="G2" s="117"/>
      <c r="H2" s="117"/>
    </row>
    <row r="3" ht="15" customHeight="1" spans="2:7">
      <c r="B3" s="54"/>
      <c r="C3" s="77"/>
      <c r="D3" s="6"/>
      <c r="E3" s="54"/>
      <c r="F3" s="6"/>
      <c r="G3" s="6"/>
    </row>
    <row r="4" ht="30" customHeight="1" spans="2:15">
      <c r="B4" s="118" t="s">
        <v>307</v>
      </c>
      <c r="C4" s="118"/>
      <c r="D4" s="118"/>
      <c r="E4" s="118"/>
      <c r="F4" s="118"/>
      <c r="G4" s="118"/>
      <c r="H4" s="118"/>
      <c r="J4" s="118" t="s">
        <v>308</v>
      </c>
      <c r="K4" s="118"/>
      <c r="L4" s="118"/>
      <c r="M4" s="118"/>
      <c r="N4" s="118"/>
      <c r="O4" s="118"/>
    </row>
    <row r="5" ht="30" customHeight="1" spans="2:15">
      <c r="B5" s="39" t="s">
        <v>194</v>
      </c>
      <c r="C5" s="39"/>
      <c r="D5" s="39" t="s">
        <v>195</v>
      </c>
      <c r="E5" s="39" t="s">
        <v>196</v>
      </c>
      <c r="F5" s="40" t="s">
        <v>197</v>
      </c>
      <c r="G5" s="92" t="s">
        <v>198</v>
      </c>
      <c r="H5" s="10" t="s">
        <v>199</v>
      </c>
      <c r="J5" s="39" t="s">
        <v>194</v>
      </c>
      <c r="K5" s="39"/>
      <c r="L5" s="122"/>
      <c r="M5" s="39"/>
      <c r="N5" s="39"/>
      <c r="O5" s="39"/>
    </row>
    <row r="6" s="1" customFormat="1" ht="30" customHeight="1" spans="2:15">
      <c r="B6" s="30" t="s">
        <v>309</v>
      </c>
      <c r="C6" s="30"/>
      <c r="D6" s="17"/>
      <c r="E6" s="30"/>
      <c r="F6" s="60"/>
      <c r="G6" s="17"/>
      <c r="H6" s="18"/>
      <c r="J6" s="30" t="s">
        <v>309</v>
      </c>
      <c r="K6" s="30"/>
      <c r="L6" s="30" t="s">
        <v>310</v>
      </c>
      <c r="M6" s="30" t="s">
        <v>311</v>
      </c>
      <c r="N6" s="17" t="s">
        <v>203</v>
      </c>
      <c r="O6" s="17" t="s">
        <v>204</v>
      </c>
    </row>
    <row r="7" s="2" customFormat="1" ht="42" customHeight="1" spans="2:19">
      <c r="B7" s="19">
        <v>1</v>
      </c>
      <c r="C7" s="20" t="s">
        <v>301</v>
      </c>
      <c r="D7" s="19" t="s">
        <v>312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301</v>
      </c>
      <c r="L7" s="44" t="s">
        <v>205</v>
      </c>
      <c r="M7" s="44" t="s">
        <v>209</v>
      </c>
      <c r="N7" s="44" t="s">
        <v>210</v>
      </c>
      <c r="O7" s="44" t="s">
        <v>211</v>
      </c>
      <c r="Q7" s="31" t="s">
        <v>205</v>
      </c>
      <c r="R7" s="19" t="s">
        <v>4</v>
      </c>
      <c r="S7" s="19"/>
    </row>
    <row r="8" s="2" customFormat="1" ht="42" customHeight="1" spans="2:19">
      <c r="B8" s="19">
        <v>2</v>
      </c>
      <c r="C8" s="20" t="s">
        <v>247</v>
      </c>
      <c r="D8" s="19" t="s">
        <v>312</v>
      </c>
      <c r="E8" s="19">
        <v>10</v>
      </c>
      <c r="F8" s="21">
        <v>0</v>
      </c>
      <c r="G8" s="19">
        <v>10</v>
      </c>
      <c r="H8" s="72" t="s">
        <v>313</v>
      </c>
      <c r="J8" s="19">
        <v>2</v>
      </c>
      <c r="K8" s="20" t="s">
        <v>247</v>
      </c>
      <c r="L8" s="44" t="s">
        <v>205</v>
      </c>
      <c r="M8" s="44" t="s">
        <v>209</v>
      </c>
      <c r="N8" s="44" t="s">
        <v>210</v>
      </c>
      <c r="O8" s="44" t="s">
        <v>211</v>
      </c>
      <c r="Q8" s="33" t="s">
        <v>209</v>
      </c>
      <c r="R8" s="19" t="s">
        <v>212</v>
      </c>
      <c r="S8" s="19"/>
    </row>
    <row r="9" s="2" customFormat="1" ht="46.5" customHeight="1" spans="2:19">
      <c r="B9" s="19">
        <v>3</v>
      </c>
      <c r="C9" s="48" t="s">
        <v>314</v>
      </c>
      <c r="D9" s="19" t="s">
        <v>312</v>
      </c>
      <c r="E9" s="19">
        <v>10</v>
      </c>
      <c r="F9" s="21">
        <v>10</v>
      </c>
      <c r="G9" s="19">
        <v>10</v>
      </c>
      <c r="H9" s="48"/>
      <c r="J9" s="19">
        <v>3</v>
      </c>
      <c r="K9" s="48" t="s">
        <v>314</v>
      </c>
      <c r="L9" s="44" t="s">
        <v>205</v>
      </c>
      <c r="M9" s="44" t="s">
        <v>209</v>
      </c>
      <c r="N9" s="44" t="s">
        <v>210</v>
      </c>
      <c r="O9" s="44" t="s">
        <v>211</v>
      </c>
      <c r="Q9" s="14" t="s">
        <v>210</v>
      </c>
      <c r="R9" s="19" t="s">
        <v>215</v>
      </c>
      <c r="S9" s="19"/>
    </row>
    <row r="10" s="115" customFormat="1" ht="42" customHeight="1" spans="2:19">
      <c r="B10" s="19">
        <v>4</v>
      </c>
      <c r="C10" s="20" t="s">
        <v>315</v>
      </c>
      <c r="D10" s="19" t="s">
        <v>312</v>
      </c>
      <c r="E10" s="19">
        <v>10</v>
      </c>
      <c r="F10" s="21">
        <v>10</v>
      </c>
      <c r="G10" s="19">
        <v>10</v>
      </c>
      <c r="H10" s="20"/>
      <c r="I10" s="2"/>
      <c r="J10" s="19">
        <v>4</v>
      </c>
      <c r="K10" s="20" t="s">
        <v>315</v>
      </c>
      <c r="L10" s="44" t="s">
        <v>205</v>
      </c>
      <c r="M10" s="44" t="s">
        <v>209</v>
      </c>
      <c r="N10" s="44" t="s">
        <v>210</v>
      </c>
      <c r="O10" s="44" t="s">
        <v>211</v>
      </c>
      <c r="Q10" s="10" t="s">
        <v>211</v>
      </c>
      <c r="R10" s="19" t="s">
        <v>216</v>
      </c>
      <c r="S10" s="19"/>
    </row>
    <row r="11" s="2" customFormat="1" ht="42" customHeight="1" spans="2:15">
      <c r="B11" s="30" t="s">
        <v>316</v>
      </c>
      <c r="C11" s="30"/>
      <c r="D11" s="42"/>
      <c r="E11" s="42"/>
      <c r="F11" s="42"/>
      <c r="G11" s="42"/>
      <c r="H11" s="43"/>
      <c r="J11" s="30" t="s">
        <v>316</v>
      </c>
      <c r="K11" s="30"/>
      <c r="L11" s="45"/>
      <c r="M11" s="45"/>
      <c r="N11" s="45"/>
      <c r="O11" s="45"/>
    </row>
    <row r="12" s="2" customFormat="1" ht="42" customHeight="1" spans="2:15">
      <c r="B12" s="19">
        <v>5</v>
      </c>
      <c r="C12" s="20" t="s">
        <v>317</v>
      </c>
      <c r="D12" s="19" t="s">
        <v>312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44" t="s">
        <v>205</v>
      </c>
      <c r="M12" s="44" t="s">
        <v>209</v>
      </c>
      <c r="N12" s="44" t="s">
        <v>210</v>
      </c>
      <c r="O12" s="44" t="s">
        <v>211</v>
      </c>
    </row>
    <row r="13" s="2" customFormat="1" ht="42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5"/>
      <c r="M13" s="45"/>
      <c r="N13" s="45"/>
      <c r="O13" s="45"/>
    </row>
    <row r="14" s="2" customFormat="1" ht="42" customHeight="1" spans="2:15">
      <c r="B14" s="19">
        <v>6</v>
      </c>
      <c r="C14" s="20" t="s">
        <v>253</v>
      </c>
      <c r="D14" s="19" t="s">
        <v>312</v>
      </c>
      <c r="E14" s="19">
        <v>10</v>
      </c>
      <c r="F14" s="21">
        <v>10</v>
      </c>
      <c r="G14" s="19">
        <v>10</v>
      </c>
      <c r="H14" s="23"/>
      <c r="J14" s="19">
        <v>6</v>
      </c>
      <c r="K14" s="20" t="s">
        <v>253</v>
      </c>
      <c r="L14" s="44" t="s">
        <v>205</v>
      </c>
      <c r="M14" s="44" t="s">
        <v>209</v>
      </c>
      <c r="N14" s="44" t="s">
        <v>210</v>
      </c>
      <c r="O14" s="44" t="s">
        <v>211</v>
      </c>
    </row>
    <row r="15" s="2" customFormat="1" ht="42" customHeight="1" spans="2:15">
      <c r="B15" s="30" t="s">
        <v>257</v>
      </c>
      <c r="C15" s="30"/>
      <c r="D15" s="120"/>
      <c r="E15" s="120"/>
      <c r="F15" s="120"/>
      <c r="G15" s="120"/>
      <c r="H15" s="120"/>
      <c r="J15" s="30" t="s">
        <v>257</v>
      </c>
      <c r="K15" s="30"/>
      <c r="L15" s="45"/>
      <c r="M15" s="45"/>
      <c r="N15" s="45"/>
      <c r="O15" s="45"/>
    </row>
    <row r="16" s="2" customFormat="1" ht="42" customHeight="1" spans="2:15">
      <c r="B16" s="19">
        <v>7</v>
      </c>
      <c r="C16" s="2" t="s">
        <v>318</v>
      </c>
      <c r="D16" s="19" t="s">
        <v>312</v>
      </c>
      <c r="E16" s="19">
        <v>15</v>
      </c>
      <c r="F16" s="21">
        <v>0</v>
      </c>
      <c r="G16" s="19">
        <v>0</v>
      </c>
      <c r="H16" s="23" t="s">
        <v>319</v>
      </c>
      <c r="J16" s="19">
        <v>7</v>
      </c>
      <c r="K16" s="2" t="s">
        <v>318</v>
      </c>
      <c r="L16" s="44" t="s">
        <v>205</v>
      </c>
      <c r="M16" s="44" t="s">
        <v>209</v>
      </c>
      <c r="N16" s="44" t="s">
        <v>210</v>
      </c>
      <c r="O16" s="44" t="s">
        <v>211</v>
      </c>
    </row>
    <row r="17" s="2" customFormat="1" ht="42" customHeight="1" spans="2:15">
      <c r="B17" s="14" t="s">
        <v>320</v>
      </c>
      <c r="C17" s="14"/>
      <c r="D17" s="42"/>
      <c r="E17" s="42"/>
      <c r="F17" s="42"/>
      <c r="G17" s="42"/>
      <c r="H17" s="43"/>
      <c r="J17" s="14" t="s">
        <v>320</v>
      </c>
      <c r="K17" s="14"/>
      <c r="L17" s="45"/>
      <c r="M17" s="45"/>
      <c r="N17" s="45"/>
      <c r="O17" s="45"/>
    </row>
    <row r="18" s="2" customFormat="1" ht="42" customHeight="1" spans="2:15">
      <c r="B18" s="19">
        <v>8</v>
      </c>
      <c r="C18" s="20" t="s">
        <v>321</v>
      </c>
      <c r="D18" s="19" t="s">
        <v>312</v>
      </c>
      <c r="E18" s="19">
        <v>15</v>
      </c>
      <c r="F18" s="21">
        <v>15</v>
      </c>
      <c r="G18" s="19">
        <v>15</v>
      </c>
      <c r="H18" s="23"/>
      <c r="J18" s="19">
        <v>8</v>
      </c>
      <c r="K18" s="20" t="s">
        <v>321</v>
      </c>
      <c r="L18" s="44" t="s">
        <v>205</v>
      </c>
      <c r="M18" s="44" t="s">
        <v>209</v>
      </c>
      <c r="N18" s="44" t="s">
        <v>210</v>
      </c>
      <c r="O18" s="44" t="s">
        <v>211</v>
      </c>
    </row>
    <row r="19" s="2" customFormat="1" ht="42" customHeight="1" spans="2:15">
      <c r="B19" s="30" t="s">
        <v>120</v>
      </c>
      <c r="C19" s="30"/>
      <c r="D19" s="42"/>
      <c r="E19" s="42"/>
      <c r="F19" s="42"/>
      <c r="G19" s="42"/>
      <c r="H19" s="43"/>
      <c r="J19" s="30" t="s">
        <v>120</v>
      </c>
      <c r="K19" s="30"/>
      <c r="L19" s="45"/>
      <c r="M19" s="45"/>
      <c r="N19" s="45"/>
      <c r="O19" s="45"/>
    </row>
    <row r="20" s="2" customFormat="1" ht="42" customHeight="1" spans="2:15">
      <c r="B20" s="19">
        <v>9</v>
      </c>
      <c r="C20" s="20" t="s">
        <v>262</v>
      </c>
      <c r="D20" s="19" t="s">
        <v>312</v>
      </c>
      <c r="E20" s="19">
        <v>20</v>
      </c>
      <c r="F20" s="21">
        <v>20</v>
      </c>
      <c r="G20" s="19">
        <v>20</v>
      </c>
      <c r="H20" s="72"/>
      <c r="J20" s="19">
        <v>9</v>
      </c>
      <c r="K20" s="20" t="s">
        <v>262</v>
      </c>
      <c r="L20" s="44" t="s">
        <v>205</v>
      </c>
      <c r="M20" s="44" t="s">
        <v>209</v>
      </c>
      <c r="N20" s="44" t="s">
        <v>210</v>
      </c>
      <c r="O20" s="44" t="s">
        <v>211</v>
      </c>
    </row>
    <row r="21" s="2" customFormat="1" ht="42" customHeight="1" spans="2:15">
      <c r="B21" s="19">
        <v>10</v>
      </c>
      <c r="C21" s="20" t="s">
        <v>322</v>
      </c>
      <c r="D21" s="19" t="s">
        <v>312</v>
      </c>
      <c r="E21" s="19">
        <v>15</v>
      </c>
      <c r="F21" s="21">
        <v>15</v>
      </c>
      <c r="G21" s="19">
        <v>15</v>
      </c>
      <c r="H21" s="72"/>
      <c r="J21" s="19">
        <v>10</v>
      </c>
      <c r="K21" s="20" t="s">
        <v>322</v>
      </c>
      <c r="L21" s="44" t="s">
        <v>205</v>
      </c>
      <c r="M21" s="44" t="s">
        <v>209</v>
      </c>
      <c r="N21" s="44" t="s">
        <v>210</v>
      </c>
      <c r="O21" s="44" t="s">
        <v>211</v>
      </c>
    </row>
    <row r="22" s="2" customFormat="1" ht="42" customHeight="1" spans="2:15">
      <c r="B22" s="19">
        <v>11</v>
      </c>
      <c r="C22" s="20" t="s">
        <v>323</v>
      </c>
      <c r="D22" s="19" t="s">
        <v>312</v>
      </c>
      <c r="E22" s="19">
        <v>5</v>
      </c>
      <c r="F22" s="21">
        <v>0</v>
      </c>
      <c r="G22" s="19">
        <v>0</v>
      </c>
      <c r="H22" s="23" t="s">
        <v>324</v>
      </c>
      <c r="J22" s="19">
        <v>11</v>
      </c>
      <c r="K22" s="20" t="s">
        <v>323</v>
      </c>
      <c r="L22" s="44" t="s">
        <v>205</v>
      </c>
      <c r="M22" s="44" t="s">
        <v>209</v>
      </c>
      <c r="N22" s="44" t="s">
        <v>210</v>
      </c>
      <c r="O22" s="44" t="s">
        <v>211</v>
      </c>
    </row>
    <row r="23" s="2" customFormat="1" ht="42" customHeight="1" spans="2:15">
      <c r="B23" s="19">
        <v>12</v>
      </c>
      <c r="C23" s="20" t="s">
        <v>325</v>
      </c>
      <c r="D23" s="19" t="s">
        <v>312</v>
      </c>
      <c r="E23" s="19">
        <v>10</v>
      </c>
      <c r="F23" s="21">
        <v>10</v>
      </c>
      <c r="G23" s="19">
        <v>10</v>
      </c>
      <c r="H23" s="23"/>
      <c r="J23" s="19">
        <v>12</v>
      </c>
      <c r="K23" s="20" t="s">
        <v>325</v>
      </c>
      <c r="L23" s="44" t="s">
        <v>205</v>
      </c>
      <c r="M23" s="44" t="s">
        <v>209</v>
      </c>
      <c r="N23" s="44" t="s">
        <v>210</v>
      </c>
      <c r="O23" s="44" t="s">
        <v>211</v>
      </c>
    </row>
    <row r="24" s="2" customFormat="1" ht="42" customHeight="1" spans="2:15">
      <c r="B24" s="19">
        <v>13</v>
      </c>
      <c r="C24" s="48" t="s">
        <v>326</v>
      </c>
      <c r="D24" s="19" t="s">
        <v>312</v>
      </c>
      <c r="E24" s="19">
        <v>15</v>
      </c>
      <c r="F24" s="21">
        <v>15</v>
      </c>
      <c r="G24" s="19">
        <v>15</v>
      </c>
      <c r="H24" s="23"/>
      <c r="J24" s="19">
        <v>13</v>
      </c>
      <c r="K24" s="48" t="s">
        <v>326</v>
      </c>
      <c r="L24" s="44" t="s">
        <v>205</v>
      </c>
      <c r="M24" s="44" t="s">
        <v>209</v>
      </c>
      <c r="N24" s="44" t="s">
        <v>210</v>
      </c>
      <c r="O24" s="44" t="s">
        <v>211</v>
      </c>
    </row>
    <row r="25" s="2" customFormat="1" ht="42" customHeight="1" spans="2:15">
      <c r="B25" s="30" t="s">
        <v>327</v>
      </c>
      <c r="C25" s="30"/>
      <c r="D25" s="42"/>
      <c r="E25" s="42"/>
      <c r="F25" s="42"/>
      <c r="G25" s="42"/>
      <c r="H25" s="43"/>
      <c r="J25" s="30" t="s">
        <v>327</v>
      </c>
      <c r="K25" s="30"/>
      <c r="L25" s="45"/>
      <c r="M25" s="45"/>
      <c r="N25" s="45"/>
      <c r="O25" s="45"/>
    </row>
    <row r="26" s="2" customFormat="1" ht="42" customHeight="1" spans="2:15">
      <c r="B26" s="19">
        <v>14</v>
      </c>
      <c r="C26" s="23" t="s">
        <v>328</v>
      </c>
      <c r="D26" s="19" t="s">
        <v>312</v>
      </c>
      <c r="E26" s="19">
        <v>5</v>
      </c>
      <c r="F26" s="21">
        <v>5</v>
      </c>
      <c r="G26" s="19">
        <v>5</v>
      </c>
      <c r="H26" s="23"/>
      <c r="J26" s="19">
        <v>14</v>
      </c>
      <c r="K26" s="23" t="s">
        <v>328</v>
      </c>
      <c r="L26" s="44" t="s">
        <v>205</v>
      </c>
      <c r="M26" s="44" t="s">
        <v>209</v>
      </c>
      <c r="N26" s="44" t="s">
        <v>210</v>
      </c>
      <c r="O26" s="44" t="s">
        <v>211</v>
      </c>
    </row>
    <row r="27" s="2" customFormat="1" ht="42" customHeight="1" spans="2:15">
      <c r="B27" s="19">
        <v>15</v>
      </c>
      <c r="C27" s="23" t="s">
        <v>329</v>
      </c>
      <c r="D27" s="19" t="s">
        <v>312</v>
      </c>
      <c r="E27" s="19">
        <v>5</v>
      </c>
      <c r="F27" s="21">
        <v>5</v>
      </c>
      <c r="G27" s="19">
        <v>5</v>
      </c>
      <c r="H27" s="20"/>
      <c r="J27" s="19">
        <v>15</v>
      </c>
      <c r="K27" s="23" t="s">
        <v>329</v>
      </c>
      <c r="L27" s="44" t="s">
        <v>205</v>
      </c>
      <c r="M27" s="44" t="s">
        <v>209</v>
      </c>
      <c r="N27" s="44" t="s">
        <v>210</v>
      </c>
      <c r="O27" s="44" t="s">
        <v>211</v>
      </c>
    </row>
    <row r="28" s="2" customFormat="1" ht="42" customHeight="1" spans="2:15">
      <c r="B28" s="19">
        <v>16</v>
      </c>
      <c r="C28" s="102" t="s">
        <v>330</v>
      </c>
      <c r="D28" s="19" t="s">
        <v>312</v>
      </c>
      <c r="E28" s="19">
        <v>5</v>
      </c>
      <c r="F28" s="21">
        <v>5</v>
      </c>
      <c r="G28" s="19">
        <v>5</v>
      </c>
      <c r="H28" s="23"/>
      <c r="J28" s="19">
        <v>16</v>
      </c>
      <c r="K28" s="102" t="s">
        <v>330</v>
      </c>
      <c r="L28" s="44" t="s">
        <v>205</v>
      </c>
      <c r="M28" s="44" t="s">
        <v>209</v>
      </c>
      <c r="N28" s="44" t="s">
        <v>210</v>
      </c>
      <c r="O28" s="44" t="s">
        <v>211</v>
      </c>
    </row>
    <row r="29" s="2" customFormat="1" ht="42" customHeight="1" spans="2:15">
      <c r="B29" s="14" t="s">
        <v>331</v>
      </c>
      <c r="C29" s="14"/>
      <c r="D29" s="42"/>
      <c r="E29" s="42"/>
      <c r="F29" s="42"/>
      <c r="G29" s="42"/>
      <c r="H29" s="43"/>
      <c r="J29" s="14" t="s">
        <v>331</v>
      </c>
      <c r="K29" s="14"/>
      <c r="L29" s="45"/>
      <c r="M29" s="45"/>
      <c r="N29" s="45"/>
      <c r="O29" s="45"/>
    </row>
    <row r="30" s="2" customFormat="1" ht="42" customHeight="1" spans="2:15">
      <c r="B30" s="19">
        <v>17</v>
      </c>
      <c r="C30" s="23" t="s">
        <v>269</v>
      </c>
      <c r="D30" s="19" t="s">
        <v>312</v>
      </c>
      <c r="E30" s="19">
        <v>15</v>
      </c>
      <c r="F30" s="21">
        <v>15</v>
      </c>
      <c r="G30" s="19">
        <v>15</v>
      </c>
      <c r="H30" s="20"/>
      <c r="J30" s="19">
        <v>17</v>
      </c>
      <c r="K30" s="23" t="s">
        <v>269</v>
      </c>
      <c r="L30" s="44" t="s">
        <v>205</v>
      </c>
      <c r="M30" s="44" t="s">
        <v>209</v>
      </c>
      <c r="N30" s="44" t="s">
        <v>210</v>
      </c>
      <c r="O30" s="44" t="s">
        <v>211</v>
      </c>
    </row>
    <row r="31" s="2" customFormat="1" ht="42" customHeight="1" spans="2:15">
      <c r="B31" s="19">
        <v>18</v>
      </c>
      <c r="C31" s="48" t="s">
        <v>332</v>
      </c>
      <c r="D31" s="19" t="s">
        <v>312</v>
      </c>
      <c r="E31" s="19">
        <v>20</v>
      </c>
      <c r="F31" s="21">
        <v>20</v>
      </c>
      <c r="G31" s="19">
        <v>20</v>
      </c>
      <c r="H31" s="23"/>
      <c r="J31" s="19">
        <v>18</v>
      </c>
      <c r="K31" s="48" t="s">
        <v>332</v>
      </c>
      <c r="L31" s="44" t="s">
        <v>205</v>
      </c>
      <c r="M31" s="44" t="s">
        <v>209</v>
      </c>
      <c r="N31" s="44" t="s">
        <v>210</v>
      </c>
      <c r="O31" s="44" t="s">
        <v>211</v>
      </c>
    </row>
    <row r="32" s="2" customFormat="1" ht="42" customHeight="1" spans="2:15">
      <c r="B32" s="19">
        <v>19</v>
      </c>
      <c r="C32" s="23" t="s">
        <v>333</v>
      </c>
      <c r="D32" s="19" t="s">
        <v>312</v>
      </c>
      <c r="E32" s="19">
        <v>10</v>
      </c>
      <c r="F32" s="21">
        <v>10</v>
      </c>
      <c r="G32" s="19">
        <v>10</v>
      </c>
      <c r="H32" s="23"/>
      <c r="J32" s="19">
        <v>19</v>
      </c>
      <c r="K32" s="23" t="s">
        <v>333</v>
      </c>
      <c r="L32" s="44" t="s">
        <v>205</v>
      </c>
      <c r="M32" s="44" t="s">
        <v>209</v>
      </c>
      <c r="N32" s="44" t="s">
        <v>210</v>
      </c>
      <c r="O32" s="44" t="s">
        <v>211</v>
      </c>
    </row>
    <row r="33" s="2" customFormat="1" ht="42" customHeight="1" spans="2:15">
      <c r="B33" s="19">
        <v>20</v>
      </c>
      <c r="C33" s="48" t="s">
        <v>334</v>
      </c>
      <c r="D33" s="19" t="s">
        <v>312</v>
      </c>
      <c r="E33" s="19">
        <v>5</v>
      </c>
      <c r="F33" s="21">
        <v>5</v>
      </c>
      <c r="G33" s="19">
        <v>5</v>
      </c>
      <c r="H33" s="20"/>
      <c r="J33" s="19">
        <v>20</v>
      </c>
      <c r="K33" s="48" t="s">
        <v>334</v>
      </c>
      <c r="L33" s="44" t="s">
        <v>205</v>
      </c>
      <c r="M33" s="44" t="s">
        <v>209</v>
      </c>
      <c r="N33" s="44" t="s">
        <v>210</v>
      </c>
      <c r="O33" s="44" t="s">
        <v>211</v>
      </c>
    </row>
    <row r="34" s="2" customFormat="1" ht="42" customHeight="1" spans="2:15">
      <c r="B34" s="19">
        <v>21</v>
      </c>
      <c r="C34" s="23" t="s">
        <v>306</v>
      </c>
      <c r="D34" s="19" t="s">
        <v>312</v>
      </c>
      <c r="E34" s="19">
        <v>5</v>
      </c>
      <c r="F34" s="21">
        <v>5</v>
      </c>
      <c r="G34" s="19">
        <v>5</v>
      </c>
      <c r="H34" s="23"/>
      <c r="J34" s="19">
        <v>21</v>
      </c>
      <c r="K34" s="23" t="s">
        <v>306</v>
      </c>
      <c r="L34" s="44" t="s">
        <v>205</v>
      </c>
      <c r="M34" s="44" t="s">
        <v>209</v>
      </c>
      <c r="N34" s="44" t="s">
        <v>210</v>
      </c>
      <c r="O34" s="44" t="s">
        <v>211</v>
      </c>
    </row>
    <row r="35" s="2" customFormat="1" ht="42" customHeight="1" spans="2:15">
      <c r="B35" s="19"/>
      <c r="C35" s="76" t="s">
        <v>335</v>
      </c>
      <c r="D35" s="19"/>
      <c r="E35" s="19">
        <f>SUM(E7:E34)</f>
        <v>235</v>
      </c>
      <c r="F35" s="21">
        <f>SUM(F5:F34)</f>
        <v>205</v>
      </c>
      <c r="G35" s="19">
        <f>SUM(G5:G34)</f>
        <v>215</v>
      </c>
      <c r="H35" s="23"/>
      <c r="M35" s="55"/>
      <c r="N35" s="55"/>
      <c r="O35" s="55"/>
    </row>
    <row r="36" s="2" customFormat="1" ht="42" customHeight="1" spans="2:15">
      <c r="B36" s="19"/>
      <c r="C36" s="76" t="s">
        <v>271</v>
      </c>
      <c r="D36" s="19"/>
      <c r="E36" s="19">
        <f>(E35/E35)*100</f>
        <v>100</v>
      </c>
      <c r="F36" s="26">
        <f>+F35/E35*100</f>
        <v>87.2340425531915</v>
      </c>
      <c r="G36" s="27">
        <f>+G35/E35*100</f>
        <v>91.4893617021277</v>
      </c>
      <c r="H36" s="23"/>
      <c r="M36" s="55"/>
      <c r="N36" s="55"/>
      <c r="O36" s="55"/>
    </row>
    <row r="37" s="2" customFormat="1" ht="42" customHeight="1" spans="2:15">
      <c r="B37" s="4"/>
      <c r="C37" s="3"/>
      <c r="D37" s="5"/>
      <c r="E37" s="4"/>
      <c r="F37" s="5"/>
      <c r="G37" s="5"/>
      <c r="M37" s="55"/>
      <c r="N37" s="55"/>
      <c r="O37" s="55"/>
    </row>
    <row r="38" s="2" customFormat="1" ht="36.75" customHeight="1" spans="2:15">
      <c r="B38" s="4"/>
      <c r="C38" s="3"/>
      <c r="D38" s="5"/>
      <c r="E38" s="4"/>
      <c r="F38" s="5"/>
      <c r="G38" s="5"/>
      <c r="M38" s="55"/>
      <c r="N38" s="55"/>
      <c r="O38" s="55"/>
    </row>
    <row r="39" s="2" customFormat="1" ht="45.75" customHeight="1" spans="2:15">
      <c r="B39" s="4"/>
      <c r="C39" s="3"/>
      <c r="D39" s="5"/>
      <c r="E39" s="4"/>
      <c r="F39" s="5"/>
      <c r="G39" s="5"/>
      <c r="M39" s="55"/>
      <c r="N39" s="55"/>
      <c r="O39" s="55"/>
    </row>
    <row r="40" s="2" customFormat="1" ht="36.75" customHeight="1" spans="2:15">
      <c r="B40" s="4"/>
      <c r="C40" s="3"/>
      <c r="D40" s="5"/>
      <c r="E40" s="4"/>
      <c r="F40" s="5"/>
      <c r="G40" s="5"/>
      <c r="M40" s="55"/>
      <c r="N40" s="55"/>
      <c r="O40" s="55"/>
    </row>
    <row r="41" s="2" customFormat="1" ht="33.75" customHeight="1" spans="2:15">
      <c r="B41" s="4"/>
      <c r="C41" s="3"/>
      <c r="D41" s="5"/>
      <c r="E41" s="4"/>
      <c r="F41" s="5"/>
      <c r="G41" s="5"/>
      <c r="M41" s="55"/>
      <c r="N41" s="55"/>
      <c r="O41" s="55"/>
    </row>
    <row r="42" s="2" customFormat="1" ht="34.5" customHeight="1" spans="2:15">
      <c r="B42" s="4"/>
      <c r="C42" s="3"/>
      <c r="D42" s="5"/>
      <c r="E42" s="4"/>
      <c r="F42" s="5"/>
      <c r="G42" s="5"/>
      <c r="M42" s="55"/>
      <c r="N42" s="55"/>
      <c r="O42" s="55"/>
    </row>
    <row r="43" s="2" customFormat="1" ht="34.5" customHeight="1" spans="2:15">
      <c r="B43" s="4"/>
      <c r="C43" s="3"/>
      <c r="D43" s="5"/>
      <c r="E43" s="4"/>
      <c r="F43" s="5"/>
      <c r="G43" s="5"/>
      <c r="M43" s="55"/>
      <c r="N43" s="55"/>
      <c r="O43" s="55"/>
    </row>
    <row r="44" s="2" customFormat="1" ht="30" customHeight="1" spans="2:15">
      <c r="B44" s="4"/>
      <c r="C44" s="121"/>
      <c r="D44" s="5"/>
      <c r="E44" s="4"/>
      <c r="F44" s="5"/>
      <c r="G44" s="5"/>
      <c r="M44" s="55"/>
      <c r="N44" s="55"/>
      <c r="O44" s="55"/>
    </row>
    <row r="45" s="2" customFormat="1" ht="30" customHeight="1" spans="2:15">
      <c r="B45" s="4"/>
      <c r="C45" s="3"/>
      <c r="D45" s="5"/>
      <c r="E45" s="4"/>
      <c r="F45" s="5"/>
      <c r="G45" s="5"/>
      <c r="M45" s="55"/>
      <c r="N45" s="55"/>
      <c r="O45" s="55"/>
    </row>
    <row r="46" s="2" customFormat="1" ht="30" customHeight="1" spans="2:15">
      <c r="B46" s="4"/>
      <c r="C46" s="3"/>
      <c r="D46" s="5"/>
      <c r="E46" s="4"/>
      <c r="F46" s="5"/>
      <c r="G46" s="5"/>
      <c r="M46" s="55"/>
      <c r="N46" s="55"/>
      <c r="O46" s="55"/>
    </row>
    <row r="47" s="2" customFormat="1" ht="30" customHeight="1" spans="2:15">
      <c r="B47" s="4"/>
      <c r="C47" s="3"/>
      <c r="D47" s="5"/>
      <c r="E47" s="4"/>
      <c r="F47" s="5"/>
      <c r="G47" s="5"/>
      <c r="M47" s="55"/>
      <c r="N47" s="55"/>
      <c r="O47" s="55"/>
    </row>
    <row r="48" s="2" customFormat="1" ht="30" customHeight="1" spans="2:15">
      <c r="B48" s="4"/>
      <c r="C48" s="3"/>
      <c r="D48" s="5"/>
      <c r="E48" s="4"/>
      <c r="F48" s="5"/>
      <c r="G48" s="5"/>
      <c r="M48" s="55"/>
      <c r="N48" s="55"/>
      <c r="O48" s="55"/>
    </row>
    <row r="49" s="2" customFormat="1" ht="30" customHeight="1" spans="2:15">
      <c r="B49" s="4"/>
      <c r="C49" s="3"/>
      <c r="D49" s="5"/>
      <c r="E49" s="4"/>
      <c r="F49" s="5"/>
      <c r="G49" s="5"/>
      <c r="M49" s="55"/>
      <c r="N49" s="55"/>
      <c r="O49" s="55"/>
    </row>
    <row r="50" s="2" customFormat="1" ht="39.75" customHeight="1" spans="2:15">
      <c r="B50" s="4"/>
      <c r="C50" s="3"/>
      <c r="D50" s="5"/>
      <c r="E50" s="4"/>
      <c r="F50" s="5"/>
      <c r="G50" s="5"/>
      <c r="M50" s="55"/>
      <c r="N50" s="55"/>
      <c r="O50" s="55"/>
    </row>
    <row r="51" s="2" customFormat="1" ht="39.75" customHeight="1" spans="2:15">
      <c r="B51" s="4"/>
      <c r="C51" s="3"/>
      <c r="D51" s="5"/>
      <c r="E51" s="4"/>
      <c r="F51" s="5"/>
      <c r="G51" s="5"/>
      <c r="M51" s="55"/>
      <c r="N51" s="55"/>
      <c r="O51" s="55"/>
    </row>
    <row r="52" s="2" customFormat="1" ht="39.75" customHeight="1" spans="2:15">
      <c r="B52" s="4"/>
      <c r="C52" s="3"/>
      <c r="D52" s="5"/>
      <c r="E52" s="4"/>
      <c r="F52" s="5"/>
      <c r="G52" s="5"/>
      <c r="M52" s="55"/>
      <c r="N52" s="55"/>
      <c r="O52" s="55"/>
    </row>
    <row r="53" s="2" customFormat="1" ht="39.75" customHeight="1" spans="2:15">
      <c r="B53" s="4"/>
      <c r="C53" s="3"/>
      <c r="D53" s="5"/>
      <c r="E53" s="4"/>
      <c r="F53" s="5"/>
      <c r="G53" s="5"/>
      <c r="M53" s="55"/>
      <c r="N53" s="55"/>
      <c r="O53" s="55"/>
    </row>
    <row r="54" s="2" customFormat="1" ht="33.75" customHeight="1" spans="2:15">
      <c r="B54" s="4"/>
      <c r="C54" s="3"/>
      <c r="D54" s="5"/>
      <c r="E54" s="4"/>
      <c r="F54" s="5"/>
      <c r="G54" s="5"/>
      <c r="M54" s="55"/>
      <c r="N54" s="55"/>
      <c r="O54" s="55"/>
    </row>
    <row r="55" s="2" customFormat="1" ht="30" customHeight="1" spans="2:15">
      <c r="B55" s="4"/>
      <c r="C55" s="3"/>
      <c r="D55" s="5"/>
      <c r="E55" s="4"/>
      <c r="F55" s="5"/>
      <c r="G55" s="5"/>
      <c r="M55" s="55"/>
      <c r="N55" s="55"/>
      <c r="O55" s="55"/>
    </row>
    <row r="56" s="2" customFormat="1" ht="30" customHeight="1" spans="2:15">
      <c r="B56" s="4"/>
      <c r="C56" s="3"/>
      <c r="D56" s="5"/>
      <c r="E56" s="4"/>
      <c r="F56" s="5"/>
      <c r="G56" s="5"/>
      <c r="M56" s="55"/>
      <c r="N56" s="55"/>
      <c r="O56" s="55"/>
    </row>
    <row r="57" s="2" customFormat="1" ht="30" customHeight="1" spans="2:15">
      <c r="B57" s="4"/>
      <c r="C57" s="3"/>
      <c r="D57" s="5"/>
      <c r="E57" s="4"/>
      <c r="F57" s="5"/>
      <c r="G57" s="5"/>
      <c r="M57" s="55"/>
      <c r="N57" s="55"/>
      <c r="O57" s="55"/>
    </row>
    <row r="58" s="2" customFormat="1" ht="30" customHeight="1" spans="2:15">
      <c r="B58" s="4"/>
      <c r="C58" s="3"/>
      <c r="D58" s="5"/>
      <c r="E58" s="4"/>
      <c r="F58" s="5"/>
      <c r="G58" s="5"/>
      <c r="M58" s="55"/>
      <c r="N58" s="55"/>
      <c r="O58" s="55"/>
    </row>
    <row r="59" s="2" customFormat="1" ht="30" customHeight="1" spans="2:15">
      <c r="B59" s="4"/>
      <c r="C59" s="3"/>
      <c r="D59" s="5"/>
      <c r="E59" s="4"/>
      <c r="F59" s="5"/>
      <c r="G59" s="5"/>
      <c r="M59" s="55"/>
      <c r="N59" s="55"/>
      <c r="O59" s="55"/>
    </row>
    <row r="60" s="2" customFormat="1" ht="30" customHeight="1" spans="2:15">
      <c r="B60" s="4"/>
      <c r="C60" s="3"/>
      <c r="D60" s="5"/>
      <c r="E60" s="4"/>
      <c r="F60" s="5"/>
      <c r="G60" s="5"/>
      <c r="M60" s="55"/>
      <c r="N60" s="55"/>
      <c r="O60" s="55"/>
    </row>
    <row r="61" s="2" customFormat="1" ht="30" customHeight="1" spans="2:15">
      <c r="B61" s="4"/>
      <c r="C61" s="3"/>
      <c r="D61" s="5"/>
      <c r="E61" s="4"/>
      <c r="F61" s="5"/>
      <c r="G61" s="5"/>
      <c r="M61" s="55"/>
      <c r="N61" s="55"/>
      <c r="O61" s="55"/>
    </row>
    <row r="62" s="2" customFormat="1" ht="30" customHeight="1" spans="2:15">
      <c r="B62" s="4"/>
      <c r="C62" s="3"/>
      <c r="D62" s="5"/>
      <c r="E62" s="4"/>
      <c r="F62" s="5"/>
      <c r="G62" s="5"/>
      <c r="M62" s="55"/>
      <c r="N62" s="55"/>
      <c r="O62" s="55"/>
    </row>
    <row r="63" s="2" customFormat="1" ht="30" customHeight="1" spans="2:15">
      <c r="B63" s="4"/>
      <c r="C63" s="3"/>
      <c r="D63" s="5"/>
      <c r="E63" s="4"/>
      <c r="F63" s="5"/>
      <c r="G63" s="5"/>
      <c r="M63" s="55"/>
      <c r="N63" s="55"/>
      <c r="O63" s="55"/>
    </row>
    <row r="64" s="2" customFormat="1" ht="30" customHeight="1" spans="2:15">
      <c r="B64" s="4"/>
      <c r="C64" s="3"/>
      <c r="D64" s="5"/>
      <c r="E64" s="4"/>
      <c r="F64" s="5"/>
      <c r="G64" s="5"/>
      <c r="M64" s="55"/>
      <c r="N64" s="55"/>
      <c r="O64" s="55"/>
    </row>
    <row r="65" s="2" customFormat="1" ht="30" customHeight="1" spans="2:15">
      <c r="B65" s="4"/>
      <c r="C65" s="3"/>
      <c r="D65" s="5"/>
      <c r="E65" s="4"/>
      <c r="F65" s="5"/>
      <c r="G65" s="5"/>
      <c r="M65" s="55"/>
      <c r="N65" s="55"/>
      <c r="O65" s="55"/>
    </row>
    <row r="66" s="2" customFormat="1" ht="30" customHeight="1" spans="2:15">
      <c r="B66" s="4"/>
      <c r="C66" s="3"/>
      <c r="D66" s="5"/>
      <c r="E66" s="4"/>
      <c r="F66" s="5"/>
      <c r="G66" s="5"/>
      <c r="M66" s="55"/>
      <c r="N66" s="55"/>
      <c r="O66" s="55"/>
    </row>
    <row r="67" s="2" customFormat="1" ht="30" customHeight="1" spans="2:15">
      <c r="B67" s="4"/>
      <c r="C67" s="3"/>
      <c r="D67" s="5"/>
      <c r="E67" s="4"/>
      <c r="F67" s="5"/>
      <c r="G67" s="5"/>
      <c r="M67" s="55"/>
      <c r="N67" s="55"/>
      <c r="O67" s="55"/>
    </row>
    <row r="68" s="2" customFormat="1" ht="30" customHeight="1" spans="2:15">
      <c r="B68" s="4"/>
      <c r="C68" s="3"/>
      <c r="D68" s="5"/>
      <c r="E68" s="4"/>
      <c r="F68" s="5"/>
      <c r="G68" s="5"/>
      <c r="M68" s="55"/>
      <c r="N68" s="55"/>
      <c r="O68" s="55"/>
    </row>
    <row r="69" s="2" customFormat="1" ht="30" customHeight="1" spans="2:15">
      <c r="B69" s="4"/>
      <c r="C69" s="3"/>
      <c r="D69" s="5"/>
      <c r="E69" s="4"/>
      <c r="F69" s="5"/>
      <c r="G69" s="5"/>
      <c r="M69" s="55"/>
      <c r="N69" s="55"/>
      <c r="O69" s="55"/>
    </row>
    <row r="70" s="2" customFormat="1" ht="30" customHeight="1" spans="2:15">
      <c r="B70" s="4"/>
      <c r="C70" s="3"/>
      <c r="D70" s="5"/>
      <c r="E70" s="4"/>
      <c r="F70" s="5"/>
      <c r="G70" s="5"/>
      <c r="M70" s="55"/>
      <c r="N70" s="55"/>
      <c r="O70" s="55"/>
    </row>
    <row r="71" s="2" customFormat="1" ht="30" customHeight="1" spans="2:15">
      <c r="B71" s="4"/>
      <c r="C71" s="3"/>
      <c r="D71" s="5"/>
      <c r="E71" s="4"/>
      <c r="F71" s="5"/>
      <c r="G71" s="5"/>
      <c r="M71" s="55"/>
      <c r="N71" s="55"/>
      <c r="O71" s="55"/>
    </row>
    <row r="72" s="2" customFormat="1" ht="30" customHeight="1" spans="2:15">
      <c r="B72" s="4"/>
      <c r="C72" s="3"/>
      <c r="D72" s="5"/>
      <c r="E72" s="4"/>
      <c r="F72" s="5"/>
      <c r="G72" s="5"/>
      <c r="M72" s="55"/>
      <c r="N72" s="55"/>
      <c r="O72" s="55"/>
    </row>
    <row r="73" s="2" customFormat="1" ht="30" customHeight="1" spans="2:15">
      <c r="B73" s="4"/>
      <c r="C73" s="3"/>
      <c r="D73" s="5"/>
      <c r="E73" s="4"/>
      <c r="F73" s="5"/>
      <c r="G73" s="5"/>
      <c r="M73" s="55"/>
      <c r="N73" s="55"/>
      <c r="O73" s="55"/>
    </row>
    <row r="74" s="2" customFormat="1" ht="31.5" customHeight="1" spans="2:15">
      <c r="B74" s="4"/>
      <c r="C74" s="3"/>
      <c r="D74" s="5"/>
      <c r="E74" s="4"/>
      <c r="F74" s="5"/>
      <c r="G74" s="5"/>
      <c r="M74" s="55"/>
      <c r="N74" s="55"/>
      <c r="O74" s="55"/>
    </row>
    <row r="75" s="2" customFormat="1" ht="30" customHeight="1" spans="2:15">
      <c r="B75" s="4"/>
      <c r="C75" s="3"/>
      <c r="D75" s="5"/>
      <c r="E75" s="4"/>
      <c r="F75" s="5"/>
      <c r="G75" s="5"/>
      <c r="J75" s="3"/>
      <c r="K75" s="3"/>
      <c r="L75" s="3"/>
      <c r="M75" s="116"/>
      <c r="N75" s="116"/>
      <c r="O75" s="116"/>
    </row>
    <row r="76" s="2" customFormat="1" ht="30" customHeight="1" spans="2:15">
      <c r="B76" s="4"/>
      <c r="C76" s="3"/>
      <c r="D76" s="5"/>
      <c r="E76" s="4"/>
      <c r="F76" s="5"/>
      <c r="G76" s="5"/>
      <c r="I76" s="3"/>
      <c r="J76" s="3"/>
      <c r="K76" s="3"/>
      <c r="L76" s="3"/>
      <c r="M76" s="116"/>
      <c r="N76" s="116"/>
      <c r="O76" s="116"/>
    </row>
    <row r="77" ht="30" customHeight="1" spans="8:8">
      <c r="H77" s="2"/>
    </row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</sheetData>
  <autoFilter ref="B5:H84">
    <extLst/>
  </autoFilter>
  <mergeCells count="25">
    <mergeCell ref="B2:H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7:C17"/>
    <mergeCell ref="J17:K17"/>
    <mergeCell ref="B19:C19"/>
    <mergeCell ref="J19:K19"/>
    <mergeCell ref="B25:C25"/>
    <mergeCell ref="J25:K25"/>
    <mergeCell ref="B29:C29"/>
    <mergeCell ref="J29:K29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B1:S77"/>
  <sheetViews>
    <sheetView zoomScale="85" zoomScaleNormal="85" workbookViewId="0">
      <pane ySplit="5" topLeftCell="A24" activePane="bottomLeft" state="frozen"/>
      <selection/>
      <selection pane="bottomLeft" activeCell="H24" sqref="H24"/>
    </sheetView>
  </sheetViews>
  <sheetFormatPr defaultColWidth="8.88888888888889" defaultRowHeight="15.6"/>
  <cols>
    <col min="1" max="1" width="8.88888888888889" style="3"/>
    <col min="2" max="2" width="7" style="4" customWidth="1"/>
    <col min="3" max="3" width="72.4444444444444" style="3" customWidth="1"/>
    <col min="4" max="4" width="17.7777777777778" style="5" customWidth="1"/>
    <col min="5" max="5" width="17.7777777777778" style="4" customWidth="1"/>
    <col min="6" max="6" width="17.7777777777778" style="5" customWidth="1"/>
    <col min="7" max="7" width="15.2222222222222" style="5" customWidth="1"/>
    <col min="8" max="8" width="63.1111111111111" style="3" customWidth="1"/>
    <col min="9" max="9" width="8.88888888888889" style="3"/>
    <col min="10" max="10" width="8.11111111111111" style="3" customWidth="1"/>
    <col min="11" max="11" width="72.7777777777778" style="3" customWidth="1"/>
    <col min="12" max="12" width="21.1111111111111" style="3" customWidth="1"/>
    <col min="13" max="15" width="21.1111111111111" style="116" customWidth="1"/>
    <col min="16" max="16384" width="8.88888888888889" style="3"/>
  </cols>
  <sheetData>
    <row r="1" ht="15" customHeight="1" spans="2:7">
      <c r="B1" s="54"/>
      <c r="C1" s="77"/>
      <c r="D1" s="6"/>
      <c r="E1" s="54"/>
      <c r="F1" s="6"/>
      <c r="G1" s="6"/>
    </row>
    <row r="2" ht="18" customHeight="1" spans="2:8">
      <c r="B2" s="117"/>
      <c r="C2" s="117"/>
      <c r="D2" s="117"/>
      <c r="E2" s="117"/>
      <c r="F2" s="117"/>
      <c r="G2" s="117"/>
      <c r="H2" s="117"/>
    </row>
    <row r="3" ht="15" customHeight="1" spans="2:7">
      <c r="B3" s="54"/>
      <c r="C3" s="77"/>
      <c r="D3" s="6"/>
      <c r="E3" s="54"/>
      <c r="F3" s="6"/>
      <c r="G3" s="6"/>
    </row>
    <row r="4" ht="30" customHeight="1" spans="2:15">
      <c r="B4" s="118" t="s">
        <v>336</v>
      </c>
      <c r="C4" s="118"/>
      <c r="D4" s="118"/>
      <c r="E4" s="118"/>
      <c r="F4" s="118"/>
      <c r="G4" s="118"/>
      <c r="H4" s="118"/>
      <c r="J4" s="118" t="s">
        <v>308</v>
      </c>
      <c r="K4" s="118"/>
      <c r="L4" s="118"/>
      <c r="M4" s="118"/>
      <c r="N4" s="118"/>
      <c r="O4" s="118"/>
    </row>
    <row r="5" ht="30" customHeight="1" spans="2:15">
      <c r="B5" s="39" t="s">
        <v>194</v>
      </c>
      <c r="C5" s="39"/>
      <c r="D5" s="39" t="s">
        <v>195</v>
      </c>
      <c r="E5" s="39" t="s">
        <v>196</v>
      </c>
      <c r="F5" s="40" t="s">
        <v>197</v>
      </c>
      <c r="G5" s="92" t="s">
        <v>198</v>
      </c>
      <c r="H5" s="10" t="s">
        <v>199</v>
      </c>
      <c r="J5" s="39" t="s">
        <v>194</v>
      </c>
      <c r="K5" s="39"/>
      <c r="L5" s="122"/>
      <c r="M5" s="39"/>
      <c r="N5" s="39"/>
      <c r="O5" s="39"/>
    </row>
    <row r="6" s="1" customFormat="1" ht="30" customHeight="1" spans="2:15">
      <c r="B6" s="30" t="s">
        <v>309</v>
      </c>
      <c r="C6" s="30"/>
      <c r="D6" s="17"/>
      <c r="E6" s="30"/>
      <c r="F6" s="17"/>
      <c r="G6" s="17"/>
      <c r="H6" s="119"/>
      <c r="J6" s="30" t="s">
        <v>309</v>
      </c>
      <c r="K6" s="30"/>
      <c r="L6" s="30" t="s">
        <v>310</v>
      </c>
      <c r="M6" s="30" t="s">
        <v>311</v>
      </c>
      <c r="N6" s="17" t="s">
        <v>203</v>
      </c>
      <c r="O6" s="17" t="s">
        <v>204</v>
      </c>
    </row>
    <row r="7" s="2" customFormat="1" ht="42" customHeight="1" spans="2:19">
      <c r="B7" s="19">
        <v>1</v>
      </c>
      <c r="C7" s="20" t="s">
        <v>301</v>
      </c>
      <c r="D7" s="19" t="s">
        <v>312</v>
      </c>
      <c r="E7" s="19">
        <v>20</v>
      </c>
      <c r="F7" s="21">
        <v>20</v>
      </c>
      <c r="G7" s="47">
        <v>20</v>
      </c>
      <c r="H7" s="23"/>
      <c r="J7" s="19">
        <v>1</v>
      </c>
      <c r="K7" s="20" t="s">
        <v>301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2" customHeight="1" spans="2:19">
      <c r="B8" s="19">
        <v>2</v>
      </c>
      <c r="C8" s="20" t="s">
        <v>247</v>
      </c>
      <c r="D8" s="19" t="s">
        <v>312</v>
      </c>
      <c r="E8" s="19">
        <v>10</v>
      </c>
      <c r="F8" s="21">
        <v>10</v>
      </c>
      <c r="G8" s="19">
        <v>10</v>
      </c>
      <c r="H8" s="86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6.5" customHeight="1" spans="2:19">
      <c r="B9" s="19">
        <v>3</v>
      </c>
      <c r="C9" s="48" t="s">
        <v>314</v>
      </c>
      <c r="D9" s="19" t="s">
        <v>312</v>
      </c>
      <c r="E9" s="19">
        <v>10</v>
      </c>
      <c r="F9" s="21">
        <v>10</v>
      </c>
      <c r="G9" s="19">
        <v>10</v>
      </c>
      <c r="H9" s="72"/>
      <c r="J9" s="19">
        <v>3</v>
      </c>
      <c r="K9" s="48" t="s">
        <v>314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115" customFormat="1" ht="42" customHeight="1" spans="2:19">
      <c r="B10" s="19">
        <v>4</v>
      </c>
      <c r="C10" s="20" t="s">
        <v>315</v>
      </c>
      <c r="D10" s="19" t="s">
        <v>312</v>
      </c>
      <c r="E10" s="19">
        <v>10</v>
      </c>
      <c r="F10" s="19">
        <v>10</v>
      </c>
      <c r="G10" s="19">
        <v>10</v>
      </c>
      <c r="H10" s="20"/>
      <c r="I10" s="2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2" customHeight="1" spans="2:15">
      <c r="B11" s="30" t="s">
        <v>316</v>
      </c>
      <c r="C11" s="30"/>
      <c r="D11" s="42"/>
      <c r="E11" s="42"/>
      <c r="F11" s="42"/>
      <c r="G11" s="42"/>
      <c r="H11" s="43"/>
      <c r="J11" s="30" t="s">
        <v>316</v>
      </c>
      <c r="K11" s="30"/>
      <c r="L11" s="42"/>
      <c r="M11" s="42"/>
      <c r="N11" s="42"/>
      <c r="O11" s="42"/>
    </row>
    <row r="12" s="2" customFormat="1" ht="42" customHeight="1" spans="2:15">
      <c r="B12" s="19">
        <v>5</v>
      </c>
      <c r="C12" s="20" t="s">
        <v>317</v>
      </c>
      <c r="D12" s="19" t="s">
        <v>312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2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2"/>
    </row>
    <row r="14" s="2" customFormat="1" ht="42" customHeight="1" spans="2:15">
      <c r="B14" s="19">
        <v>6</v>
      </c>
      <c r="C14" s="20" t="s">
        <v>253</v>
      </c>
      <c r="D14" s="19" t="s">
        <v>312</v>
      </c>
      <c r="E14" s="19">
        <v>10</v>
      </c>
      <c r="F14" s="21">
        <v>10</v>
      </c>
      <c r="G14" s="19">
        <v>10</v>
      </c>
      <c r="H14" s="23"/>
      <c r="J14" s="19">
        <v>6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2" customHeight="1" spans="2:15">
      <c r="B15" s="30" t="s">
        <v>257</v>
      </c>
      <c r="C15" s="30"/>
      <c r="D15" s="120"/>
      <c r="E15" s="120"/>
      <c r="F15" s="120"/>
      <c r="G15" s="120"/>
      <c r="H15" s="120"/>
      <c r="J15" s="30" t="s">
        <v>257</v>
      </c>
      <c r="K15" s="30"/>
      <c r="L15" s="42"/>
      <c r="M15" s="42"/>
      <c r="N15" s="42"/>
      <c r="O15" s="42"/>
    </row>
    <row r="16" s="2" customFormat="1" ht="42" customHeight="1" spans="2:15">
      <c r="B16" s="19">
        <v>7</v>
      </c>
      <c r="C16" s="2" t="s">
        <v>318</v>
      </c>
      <c r="D16" s="19" t="s">
        <v>312</v>
      </c>
      <c r="E16" s="19">
        <v>10</v>
      </c>
      <c r="F16" s="21">
        <v>0</v>
      </c>
      <c r="G16" s="19">
        <v>0</v>
      </c>
      <c r="H16" s="23" t="s">
        <v>337</v>
      </c>
      <c r="J16" s="19">
        <v>7</v>
      </c>
      <c r="K16" s="2" t="s">
        <v>318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2" customHeight="1" spans="2:15">
      <c r="B17" s="14" t="s">
        <v>320</v>
      </c>
      <c r="C17" s="14"/>
      <c r="D17" s="42"/>
      <c r="E17" s="42"/>
      <c r="F17" s="42"/>
      <c r="G17" s="42"/>
      <c r="H17" s="43"/>
      <c r="J17" s="14" t="s">
        <v>320</v>
      </c>
      <c r="K17" s="14"/>
      <c r="L17" s="42"/>
      <c r="M17" s="42"/>
      <c r="N17" s="42"/>
      <c r="O17" s="42"/>
    </row>
    <row r="18" s="2" customFormat="1" ht="42" customHeight="1" spans="2:15">
      <c r="B18" s="19">
        <v>8</v>
      </c>
      <c r="C18" s="20" t="s">
        <v>321</v>
      </c>
      <c r="D18" s="19" t="s">
        <v>312</v>
      </c>
      <c r="E18" s="19">
        <v>15</v>
      </c>
      <c r="F18" s="21">
        <v>0</v>
      </c>
      <c r="G18" s="19">
        <v>0</v>
      </c>
      <c r="H18" s="23" t="s">
        <v>338</v>
      </c>
      <c r="J18" s="19">
        <v>8</v>
      </c>
      <c r="K18" s="20" t="s">
        <v>321</v>
      </c>
      <c r="L18" s="19" t="s">
        <v>205</v>
      </c>
      <c r="M18" s="19" t="s">
        <v>209</v>
      </c>
      <c r="N18" s="19" t="s">
        <v>210</v>
      </c>
      <c r="O18" s="19" t="s">
        <v>211</v>
      </c>
    </row>
    <row r="19" s="2" customFormat="1" ht="42" customHeight="1" spans="2:15">
      <c r="B19" s="30" t="s">
        <v>327</v>
      </c>
      <c r="C19" s="30"/>
      <c r="D19" s="42"/>
      <c r="E19" s="42"/>
      <c r="F19" s="42"/>
      <c r="G19" s="42"/>
      <c r="H19" s="43"/>
      <c r="J19" s="30" t="s">
        <v>327</v>
      </c>
      <c r="K19" s="30"/>
      <c r="L19" s="42"/>
      <c r="M19" s="42"/>
      <c r="N19" s="42"/>
      <c r="O19" s="42"/>
    </row>
    <row r="20" s="2" customFormat="1" ht="42" customHeight="1" spans="2:15">
      <c r="B20" s="19">
        <v>9</v>
      </c>
      <c r="C20" s="23" t="s">
        <v>328</v>
      </c>
      <c r="D20" s="19" t="s">
        <v>312</v>
      </c>
      <c r="E20" s="19">
        <v>5</v>
      </c>
      <c r="F20" s="21">
        <v>5</v>
      </c>
      <c r="G20" s="19">
        <v>5</v>
      </c>
      <c r="H20" s="23"/>
      <c r="J20" s="19">
        <v>14</v>
      </c>
      <c r="K20" s="23" t="s">
        <v>328</v>
      </c>
      <c r="L20" s="19" t="s">
        <v>205</v>
      </c>
      <c r="M20" s="19" t="s">
        <v>209</v>
      </c>
      <c r="N20" s="19" t="s">
        <v>210</v>
      </c>
      <c r="O20" s="19" t="s">
        <v>211</v>
      </c>
    </row>
    <row r="21" s="2" customFormat="1" ht="42" customHeight="1" spans="2:15">
      <c r="B21" s="19">
        <v>10</v>
      </c>
      <c r="C21" s="23" t="s">
        <v>329</v>
      </c>
      <c r="D21" s="19" t="s">
        <v>312</v>
      </c>
      <c r="E21" s="19">
        <v>5</v>
      </c>
      <c r="F21" s="21">
        <v>5</v>
      </c>
      <c r="G21" s="19">
        <v>5</v>
      </c>
      <c r="H21" s="23"/>
      <c r="J21" s="19">
        <v>15</v>
      </c>
      <c r="K21" s="23" t="s">
        <v>329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2" customHeight="1" spans="2:15">
      <c r="B22" s="19">
        <v>11</v>
      </c>
      <c r="C22" s="102" t="s">
        <v>330</v>
      </c>
      <c r="D22" s="19" t="s">
        <v>312</v>
      </c>
      <c r="E22" s="19">
        <v>5</v>
      </c>
      <c r="F22" s="21">
        <v>5</v>
      </c>
      <c r="G22" s="19">
        <v>5</v>
      </c>
      <c r="H22" s="23"/>
      <c r="J22" s="19">
        <v>16</v>
      </c>
      <c r="K22" s="102" t="s">
        <v>330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2" customHeight="1" spans="2:15">
      <c r="B23" s="14" t="s">
        <v>331</v>
      </c>
      <c r="C23" s="14"/>
      <c r="D23" s="42"/>
      <c r="E23" s="42"/>
      <c r="F23" s="42"/>
      <c r="G23" s="42"/>
      <c r="H23" s="43"/>
      <c r="J23" s="14" t="s">
        <v>331</v>
      </c>
      <c r="K23" s="14"/>
      <c r="L23" s="42"/>
      <c r="M23" s="42"/>
      <c r="N23" s="42"/>
      <c r="O23" s="42"/>
    </row>
    <row r="24" s="2" customFormat="1" ht="42" customHeight="1" spans="2:15">
      <c r="B24" s="19">
        <v>12</v>
      </c>
      <c r="C24" s="23" t="s">
        <v>269</v>
      </c>
      <c r="D24" s="19" t="s">
        <v>312</v>
      </c>
      <c r="E24" s="19">
        <v>15</v>
      </c>
      <c r="F24" s="21">
        <v>15</v>
      </c>
      <c r="G24" s="19">
        <v>15</v>
      </c>
      <c r="H24" s="23"/>
      <c r="J24" s="19">
        <v>17</v>
      </c>
      <c r="K24" s="23" t="s">
        <v>269</v>
      </c>
      <c r="L24" s="19" t="s">
        <v>205</v>
      </c>
      <c r="M24" s="19" t="s">
        <v>209</v>
      </c>
      <c r="N24" s="19" t="s">
        <v>210</v>
      </c>
      <c r="O24" s="19" t="s">
        <v>211</v>
      </c>
    </row>
    <row r="25" s="2" customFormat="1" ht="42" customHeight="1" spans="2:15">
      <c r="B25" s="19">
        <v>13</v>
      </c>
      <c r="C25" s="48" t="s">
        <v>332</v>
      </c>
      <c r="D25" s="19" t="s">
        <v>312</v>
      </c>
      <c r="E25" s="19">
        <v>20</v>
      </c>
      <c r="F25" s="21">
        <v>20</v>
      </c>
      <c r="G25" s="19">
        <v>20</v>
      </c>
      <c r="H25" s="23"/>
      <c r="J25" s="19">
        <v>18</v>
      </c>
      <c r="K25" s="48" t="s">
        <v>332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42" customHeight="1" spans="2:15">
      <c r="B26" s="19">
        <v>14</v>
      </c>
      <c r="C26" s="48" t="s">
        <v>334</v>
      </c>
      <c r="D26" s="19" t="s">
        <v>312</v>
      </c>
      <c r="E26" s="19">
        <v>5</v>
      </c>
      <c r="F26" s="21">
        <v>5</v>
      </c>
      <c r="G26" s="19">
        <v>5</v>
      </c>
      <c r="H26" s="20"/>
      <c r="J26" s="19">
        <v>20</v>
      </c>
      <c r="K26" s="48" t="s">
        <v>334</v>
      </c>
      <c r="L26" s="19" t="s">
        <v>205</v>
      </c>
      <c r="M26" s="19" t="s">
        <v>209</v>
      </c>
      <c r="N26" s="19" t="s">
        <v>210</v>
      </c>
      <c r="O26" s="19" t="s">
        <v>211</v>
      </c>
    </row>
    <row r="27" s="2" customFormat="1" ht="42" customHeight="1" spans="2:15">
      <c r="B27" s="19">
        <v>15</v>
      </c>
      <c r="C27" s="23" t="s">
        <v>306</v>
      </c>
      <c r="D27" s="19" t="s">
        <v>312</v>
      </c>
      <c r="E27" s="19">
        <v>5</v>
      </c>
      <c r="F27" s="21">
        <v>5</v>
      </c>
      <c r="G27" s="19">
        <v>5</v>
      </c>
      <c r="H27" s="23"/>
      <c r="J27" s="19">
        <v>21</v>
      </c>
      <c r="K27" s="23" t="s">
        <v>306</v>
      </c>
      <c r="L27" s="19" t="s">
        <v>205</v>
      </c>
      <c r="M27" s="19" t="s">
        <v>209</v>
      </c>
      <c r="N27" s="19" t="s">
        <v>210</v>
      </c>
      <c r="O27" s="19" t="s">
        <v>211</v>
      </c>
    </row>
    <row r="28" s="2" customFormat="1" ht="42" customHeight="1" spans="2:15">
      <c r="B28" s="19"/>
      <c r="C28" s="76" t="s">
        <v>335</v>
      </c>
      <c r="D28" s="19"/>
      <c r="E28" s="19">
        <f>SUM(E7:E27)</f>
        <v>155</v>
      </c>
      <c r="F28" s="21">
        <f>SUM(F5:F27)</f>
        <v>130</v>
      </c>
      <c r="G28" s="19">
        <f>SUM(G5:G27)</f>
        <v>130</v>
      </c>
      <c r="H28" s="23"/>
      <c r="M28" s="55"/>
      <c r="N28" s="55"/>
      <c r="O28" s="55"/>
    </row>
    <row r="29" s="2" customFormat="1" ht="42" customHeight="1" spans="2:15">
      <c r="B29" s="19"/>
      <c r="C29" s="76" t="s">
        <v>271</v>
      </c>
      <c r="D29" s="19"/>
      <c r="E29" s="19">
        <f>(E28/E28)*100</f>
        <v>100</v>
      </c>
      <c r="F29" s="26">
        <f>+F28/E28*100</f>
        <v>83.8709677419355</v>
      </c>
      <c r="G29" s="27">
        <f>+G28/E28*100</f>
        <v>83.8709677419355</v>
      </c>
      <c r="H29" s="23"/>
      <c r="M29" s="55"/>
      <c r="N29" s="55"/>
      <c r="O29" s="55"/>
    </row>
    <row r="30" s="2" customFormat="1" ht="42" customHeight="1" spans="2:15">
      <c r="B30" s="4"/>
      <c r="C30" s="3"/>
      <c r="D30" s="5"/>
      <c r="E30" s="4"/>
      <c r="F30" s="5"/>
      <c r="G30" s="5"/>
      <c r="M30" s="55"/>
      <c r="N30" s="55"/>
      <c r="O30" s="55"/>
    </row>
    <row r="31" s="2" customFormat="1" ht="36.75" customHeight="1" spans="2:15">
      <c r="B31" s="4"/>
      <c r="C31" s="3"/>
      <c r="D31" s="5"/>
      <c r="E31" s="4"/>
      <c r="F31" s="5"/>
      <c r="G31" s="5"/>
      <c r="M31" s="55"/>
      <c r="N31" s="55"/>
      <c r="O31" s="55"/>
    </row>
    <row r="32" s="2" customFormat="1" ht="45.75" customHeight="1" spans="2:15">
      <c r="B32" s="4"/>
      <c r="C32" s="3"/>
      <c r="D32" s="5"/>
      <c r="E32" s="4"/>
      <c r="F32" s="5"/>
      <c r="G32" s="5"/>
      <c r="M32" s="55"/>
      <c r="N32" s="55"/>
      <c r="O32" s="55"/>
    </row>
    <row r="33" s="2" customFormat="1" ht="36.75" customHeight="1" spans="2:15">
      <c r="B33" s="4"/>
      <c r="C33" s="3"/>
      <c r="D33" s="5"/>
      <c r="E33" s="4"/>
      <c r="F33" s="5"/>
      <c r="G33" s="5"/>
      <c r="M33" s="55"/>
      <c r="N33" s="55"/>
      <c r="O33" s="55"/>
    </row>
    <row r="34" s="2" customFormat="1" ht="33.75" customHeight="1" spans="2:15">
      <c r="B34" s="4"/>
      <c r="C34" s="3"/>
      <c r="D34" s="5"/>
      <c r="E34" s="4"/>
      <c r="F34" s="5"/>
      <c r="G34" s="5"/>
      <c r="M34" s="55"/>
      <c r="N34" s="55"/>
      <c r="O34" s="55"/>
    </row>
    <row r="35" s="2" customFormat="1" ht="34.5" customHeight="1" spans="2:15">
      <c r="B35" s="4"/>
      <c r="C35" s="3"/>
      <c r="D35" s="5"/>
      <c r="E35" s="4"/>
      <c r="F35" s="5"/>
      <c r="G35" s="5"/>
      <c r="M35" s="55"/>
      <c r="N35" s="55"/>
      <c r="O35" s="55"/>
    </row>
    <row r="36" s="2" customFormat="1" ht="34.5" customHeight="1" spans="2:15">
      <c r="B36" s="4"/>
      <c r="C36" s="3"/>
      <c r="D36" s="5"/>
      <c r="E36" s="4"/>
      <c r="F36" s="5"/>
      <c r="G36" s="5"/>
      <c r="M36" s="55"/>
      <c r="N36" s="55"/>
      <c r="O36" s="55"/>
    </row>
    <row r="37" s="2" customFormat="1" ht="30" customHeight="1" spans="2:15">
      <c r="B37" s="4"/>
      <c r="C37" s="121"/>
      <c r="D37" s="5"/>
      <c r="E37" s="4"/>
      <c r="F37" s="5"/>
      <c r="G37" s="5"/>
      <c r="M37" s="55"/>
      <c r="N37" s="55"/>
      <c r="O37" s="55"/>
    </row>
    <row r="38" s="2" customFormat="1" ht="30" customHeight="1" spans="2:15">
      <c r="B38" s="4"/>
      <c r="C38" s="3"/>
      <c r="D38" s="5"/>
      <c r="E38" s="4"/>
      <c r="F38" s="5"/>
      <c r="G38" s="5"/>
      <c r="M38" s="55"/>
      <c r="N38" s="55"/>
      <c r="O38" s="55"/>
    </row>
    <row r="39" s="2" customFormat="1" ht="30" customHeight="1" spans="2:15">
      <c r="B39" s="4"/>
      <c r="C39" s="3"/>
      <c r="D39" s="5"/>
      <c r="E39" s="4"/>
      <c r="F39" s="5"/>
      <c r="G39" s="5"/>
      <c r="M39" s="55"/>
      <c r="N39" s="55"/>
      <c r="O39" s="55"/>
    </row>
    <row r="40" s="2" customFormat="1" ht="30" customHeight="1" spans="2:15">
      <c r="B40" s="4"/>
      <c r="C40" s="3"/>
      <c r="D40" s="5"/>
      <c r="E40" s="4"/>
      <c r="F40" s="5"/>
      <c r="G40" s="5"/>
      <c r="M40" s="55"/>
      <c r="N40" s="55"/>
      <c r="O40" s="55"/>
    </row>
    <row r="41" s="2" customFormat="1" ht="30" customHeight="1" spans="2:15">
      <c r="B41" s="4"/>
      <c r="C41" s="3"/>
      <c r="D41" s="5"/>
      <c r="E41" s="4"/>
      <c r="F41" s="5"/>
      <c r="G41" s="5"/>
      <c r="M41" s="55"/>
      <c r="N41" s="55"/>
      <c r="O41" s="55"/>
    </row>
    <row r="42" s="2" customFormat="1" ht="30" customHeight="1" spans="2:15">
      <c r="B42" s="4"/>
      <c r="C42" s="3"/>
      <c r="D42" s="5"/>
      <c r="E42" s="4"/>
      <c r="F42" s="5"/>
      <c r="G42" s="5"/>
      <c r="M42" s="55"/>
      <c r="N42" s="55"/>
      <c r="O42" s="55"/>
    </row>
    <row r="43" s="2" customFormat="1" ht="39.75" customHeight="1" spans="2:15">
      <c r="B43" s="4"/>
      <c r="C43" s="3"/>
      <c r="D43" s="5"/>
      <c r="E43" s="4"/>
      <c r="F43" s="5"/>
      <c r="G43" s="5"/>
      <c r="M43" s="55"/>
      <c r="N43" s="55"/>
      <c r="O43" s="55"/>
    </row>
    <row r="44" s="2" customFormat="1" ht="39.75" customHeight="1" spans="2:15">
      <c r="B44" s="4"/>
      <c r="C44" s="3"/>
      <c r="D44" s="5"/>
      <c r="E44" s="4"/>
      <c r="F44" s="5"/>
      <c r="G44" s="5"/>
      <c r="M44" s="55"/>
      <c r="N44" s="55"/>
      <c r="O44" s="55"/>
    </row>
    <row r="45" s="2" customFormat="1" ht="39.75" customHeight="1" spans="2:15">
      <c r="B45" s="4"/>
      <c r="C45" s="3"/>
      <c r="D45" s="5"/>
      <c r="E45" s="4"/>
      <c r="F45" s="5"/>
      <c r="G45" s="5"/>
      <c r="M45" s="55"/>
      <c r="N45" s="55"/>
      <c r="O45" s="55"/>
    </row>
    <row r="46" s="2" customFormat="1" ht="39.75" customHeight="1" spans="2:15">
      <c r="B46" s="4"/>
      <c r="C46" s="3"/>
      <c r="D46" s="5"/>
      <c r="E46" s="4"/>
      <c r="F46" s="5"/>
      <c r="G46" s="5"/>
      <c r="M46" s="55"/>
      <c r="N46" s="55"/>
      <c r="O46" s="55"/>
    </row>
    <row r="47" s="2" customFormat="1" ht="33.75" customHeight="1" spans="2:15">
      <c r="B47" s="4"/>
      <c r="C47" s="3"/>
      <c r="D47" s="5"/>
      <c r="E47" s="4"/>
      <c r="F47" s="5"/>
      <c r="G47" s="5"/>
      <c r="M47" s="55"/>
      <c r="N47" s="55"/>
      <c r="O47" s="55"/>
    </row>
    <row r="48" s="2" customFormat="1" ht="30" customHeight="1" spans="2:15">
      <c r="B48" s="4"/>
      <c r="C48" s="3"/>
      <c r="D48" s="5"/>
      <c r="E48" s="4"/>
      <c r="F48" s="5"/>
      <c r="G48" s="5"/>
      <c r="M48" s="55"/>
      <c r="N48" s="55"/>
      <c r="O48" s="55"/>
    </row>
    <row r="49" s="2" customFormat="1" ht="30" customHeight="1" spans="2:15">
      <c r="B49" s="4"/>
      <c r="C49" s="3"/>
      <c r="D49" s="5"/>
      <c r="E49" s="4"/>
      <c r="F49" s="5"/>
      <c r="G49" s="5"/>
      <c r="M49" s="55"/>
      <c r="N49" s="55"/>
      <c r="O49" s="55"/>
    </row>
    <row r="50" s="2" customFormat="1" ht="30" customHeight="1" spans="2:15">
      <c r="B50" s="4"/>
      <c r="C50" s="3"/>
      <c r="D50" s="5"/>
      <c r="E50" s="4"/>
      <c r="F50" s="5"/>
      <c r="G50" s="5"/>
      <c r="M50" s="55"/>
      <c r="N50" s="55"/>
      <c r="O50" s="55"/>
    </row>
    <row r="51" s="2" customFormat="1" ht="30" customHeight="1" spans="2:15">
      <c r="B51" s="4"/>
      <c r="C51" s="3"/>
      <c r="D51" s="5"/>
      <c r="E51" s="4"/>
      <c r="F51" s="5"/>
      <c r="G51" s="5"/>
      <c r="M51" s="55"/>
      <c r="N51" s="55"/>
      <c r="O51" s="55"/>
    </row>
    <row r="52" s="2" customFormat="1" ht="30" customHeight="1" spans="2:15">
      <c r="B52" s="4"/>
      <c r="C52" s="3"/>
      <c r="D52" s="5"/>
      <c r="E52" s="4"/>
      <c r="F52" s="5"/>
      <c r="G52" s="5"/>
      <c r="M52" s="55"/>
      <c r="N52" s="55"/>
      <c r="O52" s="55"/>
    </row>
    <row r="53" s="2" customFormat="1" ht="30" customHeight="1" spans="2:15">
      <c r="B53" s="4"/>
      <c r="C53" s="3"/>
      <c r="D53" s="5"/>
      <c r="E53" s="4"/>
      <c r="F53" s="5"/>
      <c r="G53" s="5"/>
      <c r="M53" s="55"/>
      <c r="N53" s="55"/>
      <c r="O53" s="55"/>
    </row>
    <row r="54" s="2" customFormat="1" ht="30" customHeight="1" spans="2:15">
      <c r="B54" s="4"/>
      <c r="C54" s="3"/>
      <c r="D54" s="5"/>
      <c r="E54" s="4"/>
      <c r="F54" s="5"/>
      <c r="G54" s="5"/>
      <c r="M54" s="55"/>
      <c r="N54" s="55"/>
      <c r="O54" s="55"/>
    </row>
    <row r="55" s="2" customFormat="1" ht="30" customHeight="1" spans="2:15">
      <c r="B55" s="4"/>
      <c r="C55" s="3"/>
      <c r="D55" s="5"/>
      <c r="E55" s="4"/>
      <c r="F55" s="5"/>
      <c r="G55" s="5"/>
      <c r="M55" s="55"/>
      <c r="N55" s="55"/>
      <c r="O55" s="55"/>
    </row>
    <row r="56" s="2" customFormat="1" ht="30" customHeight="1" spans="2:15">
      <c r="B56" s="4"/>
      <c r="C56" s="3"/>
      <c r="D56" s="5"/>
      <c r="E56" s="4"/>
      <c r="F56" s="5"/>
      <c r="G56" s="5"/>
      <c r="M56" s="55"/>
      <c r="N56" s="55"/>
      <c r="O56" s="55"/>
    </row>
    <row r="57" s="2" customFormat="1" ht="30" customHeight="1" spans="2:15">
      <c r="B57" s="4"/>
      <c r="C57" s="3"/>
      <c r="D57" s="5"/>
      <c r="E57" s="4"/>
      <c r="F57" s="5"/>
      <c r="G57" s="5"/>
      <c r="M57" s="55"/>
      <c r="N57" s="55"/>
      <c r="O57" s="55"/>
    </row>
    <row r="58" s="2" customFormat="1" ht="30" customHeight="1" spans="2:15">
      <c r="B58" s="4"/>
      <c r="C58" s="3"/>
      <c r="D58" s="5"/>
      <c r="E58" s="4"/>
      <c r="F58" s="5"/>
      <c r="G58" s="5"/>
      <c r="M58" s="55"/>
      <c r="N58" s="55"/>
      <c r="O58" s="55"/>
    </row>
    <row r="59" s="2" customFormat="1" ht="30" customHeight="1" spans="2:15">
      <c r="B59" s="4"/>
      <c r="C59" s="3"/>
      <c r="D59" s="5"/>
      <c r="E59" s="4"/>
      <c r="F59" s="5"/>
      <c r="G59" s="5"/>
      <c r="M59" s="55"/>
      <c r="N59" s="55"/>
      <c r="O59" s="55"/>
    </row>
    <row r="60" s="2" customFormat="1" ht="30" customHeight="1" spans="2:15">
      <c r="B60" s="4"/>
      <c r="C60" s="3"/>
      <c r="D60" s="5"/>
      <c r="E60" s="4"/>
      <c r="F60" s="5"/>
      <c r="G60" s="5"/>
      <c r="M60" s="55"/>
      <c r="N60" s="55"/>
      <c r="O60" s="55"/>
    </row>
    <row r="61" s="2" customFormat="1" ht="30" customHeight="1" spans="2:15">
      <c r="B61" s="4"/>
      <c r="C61" s="3"/>
      <c r="D61" s="5"/>
      <c r="E61" s="4"/>
      <c r="F61" s="5"/>
      <c r="G61" s="5"/>
      <c r="M61" s="55"/>
      <c r="N61" s="55"/>
      <c r="O61" s="55"/>
    </row>
    <row r="62" s="2" customFormat="1" ht="30" customHeight="1" spans="2:15">
      <c r="B62" s="4"/>
      <c r="C62" s="3"/>
      <c r="D62" s="5"/>
      <c r="E62" s="4"/>
      <c r="F62" s="5"/>
      <c r="G62" s="5"/>
      <c r="M62" s="55"/>
      <c r="N62" s="55"/>
      <c r="O62" s="55"/>
    </row>
    <row r="63" s="2" customFormat="1" ht="30" customHeight="1" spans="2:15">
      <c r="B63" s="4"/>
      <c r="C63" s="3"/>
      <c r="D63" s="5"/>
      <c r="E63" s="4"/>
      <c r="F63" s="5"/>
      <c r="G63" s="5"/>
      <c r="M63" s="55"/>
      <c r="N63" s="55"/>
      <c r="O63" s="55"/>
    </row>
    <row r="64" s="2" customFormat="1" ht="30" customHeight="1" spans="2:15">
      <c r="B64" s="4"/>
      <c r="C64" s="3"/>
      <c r="D64" s="5"/>
      <c r="E64" s="4"/>
      <c r="F64" s="5"/>
      <c r="G64" s="5"/>
      <c r="M64" s="55"/>
      <c r="N64" s="55"/>
      <c r="O64" s="55"/>
    </row>
    <row r="65" s="2" customFormat="1" ht="30" customHeight="1" spans="2:15">
      <c r="B65" s="4"/>
      <c r="C65" s="3"/>
      <c r="D65" s="5"/>
      <c r="E65" s="4"/>
      <c r="F65" s="5"/>
      <c r="G65" s="5"/>
      <c r="M65" s="55"/>
      <c r="N65" s="55"/>
      <c r="O65" s="55"/>
    </row>
    <row r="66" s="2" customFormat="1" ht="30" customHeight="1" spans="2:15">
      <c r="B66" s="4"/>
      <c r="C66" s="3"/>
      <c r="D66" s="5"/>
      <c r="E66" s="4"/>
      <c r="F66" s="5"/>
      <c r="G66" s="5"/>
      <c r="M66" s="55"/>
      <c r="N66" s="55"/>
      <c r="O66" s="55"/>
    </row>
    <row r="67" s="2" customFormat="1" ht="31.5" customHeight="1" spans="2:15">
      <c r="B67" s="4"/>
      <c r="C67" s="3"/>
      <c r="D67" s="5"/>
      <c r="E67" s="4"/>
      <c r="F67" s="5"/>
      <c r="G67" s="5"/>
      <c r="M67" s="55"/>
      <c r="N67" s="55"/>
      <c r="O67" s="55"/>
    </row>
    <row r="68" s="2" customFormat="1" ht="30" customHeight="1" spans="2:15">
      <c r="B68" s="4"/>
      <c r="C68" s="3"/>
      <c r="D68" s="5"/>
      <c r="E68" s="4"/>
      <c r="F68" s="5"/>
      <c r="G68" s="5"/>
      <c r="J68" s="3"/>
      <c r="K68" s="3"/>
      <c r="L68" s="3"/>
      <c r="M68" s="116"/>
      <c r="N68" s="116"/>
      <c r="O68" s="116"/>
    </row>
    <row r="69" s="2" customFormat="1" ht="30" customHeight="1" spans="2:15">
      <c r="B69" s="4"/>
      <c r="C69" s="3"/>
      <c r="D69" s="5"/>
      <c r="E69" s="4"/>
      <c r="F69" s="5"/>
      <c r="G69" s="5"/>
      <c r="I69" s="3"/>
      <c r="J69" s="3"/>
      <c r="K69" s="3"/>
      <c r="L69" s="3"/>
      <c r="M69" s="116"/>
      <c r="N69" s="116"/>
      <c r="O69" s="116"/>
    </row>
    <row r="70" ht="30" customHeight="1" spans="8:8">
      <c r="H70" s="2"/>
    </row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</sheetData>
  <autoFilter ref="B5:H77">
    <extLst/>
  </autoFilter>
  <mergeCells count="23">
    <mergeCell ref="B2:H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7:C17"/>
    <mergeCell ref="J17:K17"/>
    <mergeCell ref="B19:C19"/>
    <mergeCell ref="J19:K19"/>
    <mergeCell ref="B23:C23"/>
    <mergeCell ref="J23:K23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2"/>
  <sheetViews>
    <sheetView zoomScale="90" zoomScaleNormal="90" workbookViewId="0">
      <pane ySplit="5" topLeftCell="A34" activePane="bottomLeft" state="frozen"/>
      <selection/>
      <selection pane="bottomLeft" activeCell="G37" sqref="G37"/>
    </sheetView>
  </sheetViews>
  <sheetFormatPr defaultColWidth="8.88888888888889" defaultRowHeight="15.6"/>
  <cols>
    <col min="1" max="1" width="9" style="5" customWidth="1"/>
    <col min="2" max="2" width="3.88888888888889" style="5" customWidth="1"/>
    <col min="3" max="3" width="77.2222222222222" style="3" customWidth="1"/>
    <col min="4" max="4" width="19.6666666666667" style="3" customWidth="1"/>
    <col min="5" max="6" width="19.6666666666667" style="5" customWidth="1"/>
    <col min="7" max="7" width="16.6666666666667" style="5" customWidth="1"/>
    <col min="8" max="8" width="57.1574074074074" style="3" customWidth="1"/>
    <col min="9" max="9" width="8.88888888888889" style="3"/>
    <col min="10" max="10" width="3.88888888888889" style="3" customWidth="1"/>
    <col min="11" max="11" width="79.4444444444444" style="3" customWidth="1"/>
    <col min="12" max="15" width="20.4444444444444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1:7">
      <c r="A2" s="7"/>
      <c r="B2" s="81"/>
      <c r="C2" s="81"/>
      <c r="D2" s="81"/>
      <c r="E2" s="81"/>
      <c r="F2" s="81"/>
      <c r="G2" s="81"/>
    </row>
    <row r="3" ht="15" customHeight="1" spans="6:7">
      <c r="F3" s="6"/>
      <c r="G3" s="6"/>
    </row>
    <row r="4" ht="30" customHeight="1" spans="1:15">
      <c r="A4" s="68"/>
      <c r="B4" s="36" t="s">
        <v>339</v>
      </c>
      <c r="C4" s="36"/>
      <c r="D4" s="36"/>
      <c r="E4" s="36"/>
      <c r="F4" s="36"/>
      <c r="G4" s="36"/>
      <c r="H4" s="36"/>
      <c r="J4" s="36" t="s">
        <v>340</v>
      </c>
      <c r="K4" s="36"/>
      <c r="L4" s="36"/>
      <c r="M4" s="36"/>
      <c r="N4" s="36"/>
      <c r="O4" s="36"/>
    </row>
    <row r="5" ht="30" customHeight="1" spans="1:15">
      <c r="A5" s="68"/>
      <c r="B5" s="10" t="s">
        <v>194</v>
      </c>
      <c r="C5" s="10"/>
      <c r="D5" s="10" t="s">
        <v>195</v>
      </c>
      <c r="E5" s="39" t="s">
        <v>196</v>
      </c>
      <c r="F5" s="40" t="s">
        <v>197</v>
      </c>
      <c r="G5" s="92" t="s">
        <v>198</v>
      </c>
      <c r="H5" s="10" t="s">
        <v>199</v>
      </c>
      <c r="J5" s="10" t="s">
        <v>194</v>
      </c>
      <c r="K5" s="10"/>
      <c r="L5" s="112"/>
      <c r="M5" s="10"/>
      <c r="N5" s="39"/>
      <c r="O5" s="10"/>
    </row>
    <row r="6" s="1" customFormat="1" ht="30" customHeight="1" spans="1:15">
      <c r="A6" s="68"/>
      <c r="B6" s="14" t="s">
        <v>309</v>
      </c>
      <c r="C6" s="14"/>
      <c r="D6" s="16"/>
      <c r="E6" s="15"/>
      <c r="F6" s="17"/>
      <c r="G6" s="17"/>
      <c r="H6" s="18"/>
      <c r="J6" s="113" t="s">
        <v>309</v>
      </c>
      <c r="K6" s="113"/>
      <c r="L6" s="114" t="s">
        <v>341</v>
      </c>
      <c r="M6" s="114" t="s">
        <v>342</v>
      </c>
      <c r="N6" s="114" t="s">
        <v>203</v>
      </c>
      <c r="O6" s="114" t="s">
        <v>204</v>
      </c>
    </row>
    <row r="7" s="2" customFormat="1" ht="42.75" customHeight="1" spans="1:19">
      <c r="A7" s="4"/>
      <c r="B7" s="19">
        <v>1</v>
      </c>
      <c r="C7" s="20" t="s">
        <v>295</v>
      </c>
      <c r="D7" s="19" t="s">
        <v>16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2.75" customHeight="1" spans="1:19">
      <c r="A8" s="4"/>
      <c r="B8" s="19">
        <v>2</v>
      </c>
      <c r="C8" s="20" t="s">
        <v>247</v>
      </c>
      <c r="D8" s="19" t="s">
        <v>16</v>
      </c>
      <c r="E8" s="19">
        <v>10</v>
      </c>
      <c r="F8" s="21">
        <v>10</v>
      </c>
      <c r="G8" s="19">
        <v>10</v>
      </c>
      <c r="H8" s="20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6.5" customHeight="1" spans="1:19">
      <c r="A9" s="4"/>
      <c r="B9" s="19">
        <v>3</v>
      </c>
      <c r="C9" s="20" t="s">
        <v>343</v>
      </c>
      <c r="D9" s="19" t="s">
        <v>16</v>
      </c>
      <c r="E9" s="19">
        <v>10</v>
      </c>
      <c r="F9" s="21">
        <v>10</v>
      </c>
      <c r="G9" s="19">
        <v>10</v>
      </c>
      <c r="H9" s="23"/>
      <c r="J9" s="19">
        <v>3</v>
      </c>
      <c r="K9" s="20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2.75" customHeight="1" spans="1:19">
      <c r="A10" s="4"/>
      <c r="B10" s="19">
        <v>4</v>
      </c>
      <c r="C10" s="20" t="s">
        <v>315</v>
      </c>
      <c r="D10" s="19" t="s">
        <v>16</v>
      </c>
      <c r="E10" s="19">
        <v>10</v>
      </c>
      <c r="F10" s="21">
        <v>10</v>
      </c>
      <c r="G10" s="19">
        <v>10</v>
      </c>
      <c r="H10" s="23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2.75" customHeight="1" spans="1:15">
      <c r="A11" s="4"/>
      <c r="B11" s="30" t="s">
        <v>344</v>
      </c>
      <c r="C11" s="30"/>
      <c r="D11" s="43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2"/>
    </row>
    <row r="12" s="2" customFormat="1" ht="42.75" customHeight="1" spans="1:15">
      <c r="A12" s="4"/>
      <c r="B12" s="19">
        <v>5</v>
      </c>
      <c r="C12" s="20" t="s">
        <v>317</v>
      </c>
      <c r="D12" s="19" t="s">
        <v>16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2.75" customHeight="1" spans="1:15">
      <c r="A13" s="4"/>
      <c r="B13" s="30" t="s">
        <v>163</v>
      </c>
      <c r="C13" s="30"/>
      <c r="D13" s="43"/>
      <c r="E13" s="42"/>
      <c r="F13" s="42"/>
      <c r="G13" s="42"/>
      <c r="H13" s="43"/>
      <c r="J13" s="30" t="s">
        <v>163</v>
      </c>
      <c r="K13" s="30"/>
      <c r="L13" s="42"/>
      <c r="M13" s="43"/>
      <c r="N13" s="42"/>
      <c r="O13" s="43"/>
    </row>
    <row r="14" s="2" customFormat="1" ht="42.75" customHeight="1" spans="1:15">
      <c r="A14" s="54"/>
      <c r="B14" s="19">
        <v>6</v>
      </c>
      <c r="C14" s="20" t="s">
        <v>253</v>
      </c>
      <c r="D14" s="19" t="s">
        <v>16</v>
      </c>
      <c r="E14" s="19">
        <v>10</v>
      </c>
      <c r="F14" s="21">
        <v>0</v>
      </c>
      <c r="G14" s="19">
        <v>0</v>
      </c>
      <c r="H14" s="23" t="s">
        <v>345</v>
      </c>
      <c r="J14" s="19">
        <v>6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2.75" customHeight="1" spans="1:15">
      <c r="A15" s="4"/>
      <c r="B15" s="30" t="s">
        <v>346</v>
      </c>
      <c r="C15" s="30"/>
      <c r="D15" s="42"/>
      <c r="E15" s="42"/>
      <c r="F15" s="42"/>
      <c r="G15" s="42"/>
      <c r="H15" s="43"/>
      <c r="J15" s="30" t="s">
        <v>346</v>
      </c>
      <c r="K15" s="30"/>
      <c r="L15" s="42"/>
      <c r="M15" s="43"/>
      <c r="N15" s="42"/>
      <c r="O15" s="43"/>
    </row>
    <row r="16" s="2" customFormat="1" ht="49.8" customHeight="1" spans="1:15">
      <c r="A16" s="54"/>
      <c r="B16" s="19">
        <v>7</v>
      </c>
      <c r="C16" s="20" t="s">
        <v>347</v>
      </c>
      <c r="D16" s="19" t="s">
        <v>16</v>
      </c>
      <c r="E16" s="19">
        <v>15</v>
      </c>
      <c r="F16" s="21">
        <v>0</v>
      </c>
      <c r="G16" s="19">
        <v>0</v>
      </c>
      <c r="H16" s="20" t="s">
        <v>348</v>
      </c>
      <c r="J16" s="19">
        <v>7</v>
      </c>
      <c r="K16" s="20" t="s">
        <v>347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2.75" customHeight="1" spans="1:15">
      <c r="A17" s="4"/>
      <c r="B17" s="19">
        <v>8</v>
      </c>
      <c r="C17" s="23" t="s">
        <v>349</v>
      </c>
      <c r="D17" s="19" t="s">
        <v>16</v>
      </c>
      <c r="E17" s="19">
        <v>10</v>
      </c>
      <c r="F17" s="21">
        <v>0</v>
      </c>
      <c r="G17" s="19">
        <v>0</v>
      </c>
      <c r="H17" s="72"/>
      <c r="J17" s="19">
        <v>8</v>
      </c>
      <c r="K17" s="23" t="s">
        <v>349</v>
      </c>
      <c r="L17" s="19" t="s">
        <v>205</v>
      </c>
      <c r="M17" s="19" t="s">
        <v>209</v>
      </c>
      <c r="N17" s="19" t="s">
        <v>210</v>
      </c>
      <c r="O17" s="19" t="s">
        <v>211</v>
      </c>
    </row>
    <row r="18" s="2" customFormat="1" ht="42.75" customHeight="1" spans="1:15">
      <c r="A18" s="54"/>
      <c r="B18" s="109" t="s">
        <v>320</v>
      </c>
      <c r="C18" s="109"/>
      <c r="D18" s="43"/>
      <c r="E18" s="42"/>
      <c r="F18" s="42"/>
      <c r="G18" s="42"/>
      <c r="H18" s="43"/>
      <c r="J18" s="109" t="s">
        <v>320</v>
      </c>
      <c r="K18" s="109"/>
      <c r="L18" s="42"/>
      <c r="M18" s="42"/>
      <c r="N18" s="42"/>
      <c r="O18" s="42"/>
    </row>
    <row r="19" s="2" customFormat="1" ht="42.75" customHeight="1" spans="1:15">
      <c r="A19" s="4"/>
      <c r="B19" s="19">
        <v>9</v>
      </c>
      <c r="C19" s="20" t="s">
        <v>350</v>
      </c>
      <c r="D19" s="19" t="s">
        <v>16</v>
      </c>
      <c r="E19" s="19">
        <v>15</v>
      </c>
      <c r="F19" s="21">
        <v>15</v>
      </c>
      <c r="G19" s="19">
        <v>15</v>
      </c>
      <c r="H19" s="23"/>
      <c r="J19" s="19">
        <v>9</v>
      </c>
      <c r="K19" s="20" t="s">
        <v>350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2.75" customHeight="1" spans="1:15">
      <c r="A20" s="4"/>
      <c r="B20" s="110" t="s">
        <v>120</v>
      </c>
      <c r="C20" s="110"/>
      <c r="D20" s="42"/>
      <c r="E20" s="42"/>
      <c r="F20" s="42"/>
      <c r="G20" s="42"/>
      <c r="H20" s="43"/>
      <c r="J20" s="110" t="s">
        <v>120</v>
      </c>
      <c r="K20" s="110"/>
      <c r="L20" s="42"/>
      <c r="M20" s="42"/>
      <c r="N20" s="42"/>
      <c r="O20" s="42"/>
    </row>
    <row r="21" s="2" customFormat="1" ht="42.75" customHeight="1" spans="1:15">
      <c r="A21" s="68"/>
      <c r="B21" s="44">
        <v>10</v>
      </c>
      <c r="C21" s="20" t="s">
        <v>262</v>
      </c>
      <c r="D21" s="19" t="s">
        <v>16</v>
      </c>
      <c r="E21" s="19">
        <v>20</v>
      </c>
      <c r="F21" s="21">
        <v>20</v>
      </c>
      <c r="G21" s="19">
        <v>20</v>
      </c>
      <c r="H21" s="23"/>
      <c r="J21" s="44">
        <v>10</v>
      </c>
      <c r="K21" s="20" t="s">
        <v>262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2.75" customHeight="1" spans="1:15">
      <c r="A22" s="68"/>
      <c r="B22" s="19">
        <v>11</v>
      </c>
      <c r="C22" s="20" t="s">
        <v>351</v>
      </c>
      <c r="D22" s="19" t="s">
        <v>16</v>
      </c>
      <c r="E22" s="19">
        <v>15</v>
      </c>
      <c r="F22" s="21">
        <v>15</v>
      </c>
      <c r="G22" s="19">
        <v>15</v>
      </c>
      <c r="H22" s="20"/>
      <c r="J22" s="19">
        <v>11</v>
      </c>
      <c r="K22" s="20" t="s">
        <v>351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2.75" customHeight="1" spans="1:15">
      <c r="A23" s="4"/>
      <c r="B23" s="110" t="s">
        <v>327</v>
      </c>
      <c r="C23" s="110"/>
      <c r="D23" s="45"/>
      <c r="E23" s="42"/>
      <c r="F23" s="42"/>
      <c r="G23" s="42"/>
      <c r="H23" s="43"/>
      <c r="J23" s="110" t="s">
        <v>327</v>
      </c>
      <c r="K23" s="110"/>
      <c r="L23" s="42"/>
      <c r="M23" s="42"/>
      <c r="N23" s="42"/>
      <c r="O23" s="42"/>
    </row>
    <row r="24" s="2" customFormat="1" ht="42.75" customHeight="1" spans="1:15">
      <c r="A24" s="4"/>
      <c r="B24" s="19">
        <v>12</v>
      </c>
      <c r="C24" s="23" t="s">
        <v>352</v>
      </c>
      <c r="D24" s="19" t="s">
        <v>16</v>
      </c>
      <c r="E24" s="19">
        <v>5</v>
      </c>
      <c r="F24" s="21">
        <v>5</v>
      </c>
      <c r="G24" s="19">
        <v>5</v>
      </c>
      <c r="H24" s="23"/>
      <c r="J24" s="19">
        <v>12</v>
      </c>
      <c r="K24" s="23" t="s">
        <v>352</v>
      </c>
      <c r="L24" s="19" t="s">
        <v>205</v>
      </c>
      <c r="M24" s="19" t="s">
        <v>209</v>
      </c>
      <c r="N24" s="19" t="s">
        <v>210</v>
      </c>
      <c r="O24" s="19" t="s">
        <v>211</v>
      </c>
    </row>
    <row r="25" s="2" customFormat="1" ht="42.75" customHeight="1" spans="1:15">
      <c r="A25" s="54"/>
      <c r="B25" s="19">
        <v>13</v>
      </c>
      <c r="C25" s="23" t="s">
        <v>353</v>
      </c>
      <c r="D25" s="19" t="s">
        <v>16</v>
      </c>
      <c r="E25" s="19">
        <v>5</v>
      </c>
      <c r="F25" s="21">
        <v>5</v>
      </c>
      <c r="G25" s="19">
        <v>5</v>
      </c>
      <c r="H25" s="23"/>
      <c r="J25" s="19">
        <v>13</v>
      </c>
      <c r="K25" s="23" t="s">
        <v>353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52.8" customHeight="1" spans="1:15">
      <c r="A26" s="4"/>
      <c r="B26" s="19">
        <v>14</v>
      </c>
      <c r="C26" s="23" t="s">
        <v>329</v>
      </c>
      <c r="D26" s="19" t="s">
        <v>16</v>
      </c>
      <c r="E26" s="19">
        <v>5</v>
      </c>
      <c r="F26" s="21">
        <v>0</v>
      </c>
      <c r="G26" s="19">
        <v>5</v>
      </c>
      <c r="H26" s="20" t="s">
        <v>354</v>
      </c>
      <c r="J26" s="19">
        <v>14</v>
      </c>
      <c r="K26" s="23" t="s">
        <v>329</v>
      </c>
      <c r="L26" s="19" t="s">
        <v>205</v>
      </c>
      <c r="M26" s="19" t="s">
        <v>209</v>
      </c>
      <c r="N26" s="19" t="s">
        <v>210</v>
      </c>
      <c r="O26" s="19" t="s">
        <v>211</v>
      </c>
    </row>
    <row r="27" s="2" customFormat="1" ht="42.75" customHeight="1" spans="1:15">
      <c r="A27" s="54"/>
      <c r="B27" s="47">
        <v>15</v>
      </c>
      <c r="C27" s="23" t="s">
        <v>355</v>
      </c>
      <c r="D27" s="19" t="s">
        <v>16</v>
      </c>
      <c r="E27" s="19">
        <v>5</v>
      </c>
      <c r="F27" s="21">
        <v>5</v>
      </c>
      <c r="G27" s="19">
        <v>5</v>
      </c>
      <c r="H27" s="20"/>
      <c r="J27" s="47">
        <v>15</v>
      </c>
      <c r="K27" s="23" t="s">
        <v>355</v>
      </c>
      <c r="L27" s="19" t="s">
        <v>205</v>
      </c>
      <c r="M27" s="19" t="s">
        <v>209</v>
      </c>
      <c r="N27" s="19" t="s">
        <v>210</v>
      </c>
      <c r="O27" s="19" t="s">
        <v>211</v>
      </c>
    </row>
    <row r="28" s="2" customFormat="1" ht="42.75" customHeight="1" spans="1:15">
      <c r="A28" s="4"/>
      <c r="B28" s="14" t="s">
        <v>305</v>
      </c>
      <c r="C28" s="14"/>
      <c r="D28" s="42"/>
      <c r="E28" s="42"/>
      <c r="F28" s="42"/>
      <c r="G28" s="42"/>
      <c r="H28" s="43"/>
      <c r="J28" s="14" t="s">
        <v>305</v>
      </c>
      <c r="K28" s="14"/>
      <c r="L28" s="42"/>
      <c r="M28" s="42"/>
      <c r="N28" s="42"/>
      <c r="O28" s="42"/>
    </row>
    <row r="29" s="2" customFormat="1" ht="42.75" customHeight="1" spans="1:15">
      <c r="A29" s="4"/>
      <c r="B29" s="19">
        <v>16</v>
      </c>
      <c r="C29" s="23" t="s">
        <v>269</v>
      </c>
      <c r="D29" s="19" t="s">
        <v>16</v>
      </c>
      <c r="E29" s="19">
        <v>15</v>
      </c>
      <c r="F29" s="21">
        <v>15</v>
      </c>
      <c r="G29" s="19">
        <v>15</v>
      </c>
      <c r="H29" s="23"/>
      <c r="J29" s="19">
        <v>16</v>
      </c>
      <c r="K29" s="23" t="s">
        <v>269</v>
      </c>
      <c r="L29" s="19" t="s">
        <v>205</v>
      </c>
      <c r="M29" s="19" t="s">
        <v>209</v>
      </c>
      <c r="N29" s="19" t="s">
        <v>210</v>
      </c>
      <c r="O29" s="19" t="s">
        <v>211</v>
      </c>
    </row>
    <row r="30" s="2" customFormat="1" ht="42.75" customHeight="1" spans="1:15">
      <c r="A30" s="68"/>
      <c r="B30" s="19">
        <v>17</v>
      </c>
      <c r="C30" s="48" t="s">
        <v>356</v>
      </c>
      <c r="D30" s="19" t="s">
        <v>16</v>
      </c>
      <c r="E30" s="19">
        <v>10</v>
      </c>
      <c r="F30" s="21">
        <v>10</v>
      </c>
      <c r="G30" s="19">
        <v>10</v>
      </c>
      <c r="H30" s="23"/>
      <c r="J30" s="19">
        <v>18</v>
      </c>
      <c r="K30" s="48" t="s">
        <v>356</v>
      </c>
      <c r="L30" s="19" t="s">
        <v>205</v>
      </c>
      <c r="M30" s="19" t="s">
        <v>209</v>
      </c>
      <c r="N30" s="19" t="s">
        <v>210</v>
      </c>
      <c r="O30" s="19" t="s">
        <v>211</v>
      </c>
    </row>
    <row r="31" s="2" customFormat="1" ht="42.75" customHeight="1" spans="1:15">
      <c r="A31" s="4"/>
      <c r="B31" s="19">
        <v>18</v>
      </c>
      <c r="C31" s="23" t="s">
        <v>306</v>
      </c>
      <c r="D31" s="19" t="s">
        <v>16</v>
      </c>
      <c r="E31" s="19">
        <v>5</v>
      </c>
      <c r="F31" s="21">
        <v>5</v>
      </c>
      <c r="G31" s="19">
        <v>5</v>
      </c>
      <c r="H31" s="20"/>
      <c r="J31" s="50">
        <v>19</v>
      </c>
      <c r="K31" s="51" t="s">
        <v>306</v>
      </c>
      <c r="L31" s="19" t="s">
        <v>205</v>
      </c>
      <c r="M31" s="19" t="s">
        <v>209</v>
      </c>
      <c r="N31" s="19" t="s">
        <v>210</v>
      </c>
      <c r="O31" s="19" t="s">
        <v>211</v>
      </c>
    </row>
    <row r="32" s="2" customFormat="1" ht="42.75" customHeight="1" spans="1:15">
      <c r="A32" s="4"/>
      <c r="B32" s="19">
        <v>19</v>
      </c>
      <c r="C32" s="23" t="s">
        <v>357</v>
      </c>
      <c r="D32" s="19" t="s">
        <v>16</v>
      </c>
      <c r="E32" s="19">
        <v>5</v>
      </c>
      <c r="F32" s="21">
        <v>5</v>
      </c>
      <c r="G32" s="19">
        <v>5</v>
      </c>
      <c r="H32" s="20"/>
      <c r="J32" s="52"/>
      <c r="K32" s="53"/>
      <c r="L32" s="52"/>
      <c r="M32" s="52"/>
      <c r="N32" s="52"/>
      <c r="O32" s="52"/>
    </row>
    <row r="33" s="2" customFormat="1" ht="42.75" customHeight="1" spans="1:15">
      <c r="A33" s="4"/>
      <c r="B33" s="19">
        <v>20</v>
      </c>
      <c r="C33" s="23" t="s">
        <v>358</v>
      </c>
      <c r="D33" s="19" t="s">
        <v>16</v>
      </c>
      <c r="E33" s="19">
        <v>10</v>
      </c>
      <c r="F33" s="21">
        <v>0</v>
      </c>
      <c r="G33" s="19">
        <v>0</v>
      </c>
      <c r="H33" s="20" t="s">
        <v>359</v>
      </c>
      <c r="J33" s="52"/>
      <c r="K33" s="53"/>
      <c r="L33" s="52"/>
      <c r="M33" s="52"/>
      <c r="N33" s="52"/>
      <c r="O33" s="52"/>
    </row>
    <row r="34" s="2" customFormat="1" ht="42.75" customHeight="1" spans="1:15">
      <c r="A34" s="4"/>
      <c r="B34" s="19">
        <v>21</v>
      </c>
      <c r="C34" s="23" t="s">
        <v>360</v>
      </c>
      <c r="D34" s="19" t="s">
        <v>16</v>
      </c>
      <c r="E34" s="19">
        <v>10</v>
      </c>
      <c r="F34" s="21">
        <v>0</v>
      </c>
      <c r="G34" s="19">
        <v>10</v>
      </c>
      <c r="H34" s="20" t="s">
        <v>361</v>
      </c>
      <c r="J34" s="52"/>
      <c r="K34" s="53"/>
      <c r="L34" s="52"/>
      <c r="M34" s="52"/>
      <c r="N34" s="52"/>
      <c r="O34" s="52"/>
    </row>
    <row r="35" s="2" customFormat="1" ht="42.75" customHeight="1" spans="1:15">
      <c r="A35" s="4"/>
      <c r="B35" s="19">
        <v>21</v>
      </c>
      <c r="C35" s="23" t="s">
        <v>362</v>
      </c>
      <c r="D35" s="19" t="s">
        <v>16</v>
      </c>
      <c r="E35" s="19">
        <v>5</v>
      </c>
      <c r="F35" s="21">
        <v>0</v>
      </c>
      <c r="G35" s="19">
        <v>5</v>
      </c>
      <c r="H35" s="20" t="s">
        <v>363</v>
      </c>
      <c r="J35" s="52"/>
      <c r="K35" s="53"/>
      <c r="L35" s="52"/>
      <c r="M35" s="52"/>
      <c r="N35" s="52"/>
      <c r="O35" s="52"/>
    </row>
    <row r="36" s="2" customFormat="1" ht="42.75" customHeight="1" spans="1:15">
      <c r="A36" s="4"/>
      <c r="B36" s="66"/>
      <c r="C36" s="65" t="s">
        <v>335</v>
      </c>
      <c r="D36" s="23"/>
      <c r="E36" s="19">
        <f>SUM(E7:E35)</f>
        <v>225</v>
      </c>
      <c r="F36" s="21">
        <f>SUM(F5:F35)</f>
        <v>160</v>
      </c>
      <c r="G36" s="21">
        <f>SUM(G5:G35)</f>
        <v>180</v>
      </c>
      <c r="H36" s="23"/>
      <c r="J36" s="52"/>
      <c r="K36" s="90"/>
      <c r="L36" s="52"/>
      <c r="M36" s="52"/>
      <c r="N36" s="52"/>
      <c r="O36" s="52"/>
    </row>
    <row r="37" s="2" customFormat="1" ht="42.75" customHeight="1" spans="1:15">
      <c r="A37" s="4"/>
      <c r="B37" s="66"/>
      <c r="C37" s="65" t="s">
        <v>271</v>
      </c>
      <c r="D37" s="64"/>
      <c r="E37" s="19">
        <f>(E36/E36)*100</f>
        <v>100</v>
      </c>
      <c r="F37" s="26">
        <f>+F36/E36*100</f>
        <v>71.1111111111111</v>
      </c>
      <c r="G37" s="27">
        <f>+G36/E36*100</f>
        <v>80</v>
      </c>
      <c r="H37" s="23"/>
      <c r="J37" s="4"/>
      <c r="K37" s="56"/>
      <c r="L37" s="4"/>
      <c r="M37" s="4"/>
      <c r="N37" s="4"/>
      <c r="O37" s="4"/>
    </row>
    <row r="38" s="2" customFormat="1" ht="42.75" customHeight="1" spans="1:15">
      <c r="A38" s="4"/>
      <c r="B38" s="5"/>
      <c r="C38" s="3"/>
      <c r="D38" s="3"/>
      <c r="E38" s="5"/>
      <c r="F38" s="4"/>
      <c r="G38" s="4"/>
      <c r="J38" s="4"/>
      <c r="L38" s="4"/>
      <c r="M38" s="4"/>
      <c r="N38" s="4"/>
      <c r="O38" s="4"/>
    </row>
    <row r="39" s="2" customFormat="1" ht="78.75" customHeight="1" spans="1:14">
      <c r="A39" s="5"/>
      <c r="B39" s="5"/>
      <c r="C39" s="24"/>
      <c r="D39" s="3"/>
      <c r="E39" s="5"/>
      <c r="F39" s="5"/>
      <c r="G39" s="5"/>
      <c r="J39" s="5"/>
      <c r="K39" s="69"/>
      <c r="L39" s="4"/>
      <c r="N39" s="4"/>
    </row>
    <row r="40" s="2" customFormat="1" ht="42" customHeight="1" spans="1:14">
      <c r="A40" s="5"/>
      <c r="B40" s="5"/>
      <c r="C40" s="3"/>
      <c r="D40" s="3"/>
      <c r="E40" s="5"/>
      <c r="F40" s="5"/>
      <c r="G40" s="5"/>
      <c r="J40" s="5"/>
      <c r="K40" s="69"/>
      <c r="L40" s="4"/>
      <c r="M40" s="3"/>
      <c r="N40" s="58"/>
    </row>
    <row r="41" s="2" customFormat="1" ht="42" customHeight="1" spans="1:7">
      <c r="A41" s="5"/>
      <c r="B41" s="5"/>
      <c r="C41" s="3"/>
      <c r="D41" s="3"/>
      <c r="E41" s="5"/>
      <c r="F41" s="5"/>
      <c r="G41" s="5"/>
    </row>
    <row r="42" s="2" customFormat="1" ht="42" customHeight="1" spans="1:7">
      <c r="A42" s="5"/>
      <c r="B42" s="5"/>
      <c r="C42" s="3"/>
      <c r="D42" s="3"/>
      <c r="E42" s="5"/>
      <c r="F42" s="5"/>
      <c r="G42" s="5"/>
    </row>
    <row r="43" s="2" customFormat="1" ht="39.75" customHeight="1" spans="1:7">
      <c r="A43" s="5"/>
      <c r="B43" s="5"/>
      <c r="C43" s="3"/>
      <c r="D43" s="3"/>
      <c r="E43" s="5"/>
      <c r="F43" s="5"/>
      <c r="G43" s="5"/>
    </row>
    <row r="44" s="2" customFormat="1" ht="33" customHeight="1" spans="1:7">
      <c r="A44" s="5"/>
      <c r="B44" s="5"/>
      <c r="C44" s="3"/>
      <c r="D44" s="3"/>
      <c r="E44" s="5"/>
      <c r="F44" s="5"/>
      <c r="G44" s="5"/>
    </row>
    <row r="45" s="2" customFormat="1" ht="51" customHeight="1" spans="1:7">
      <c r="A45" s="5"/>
      <c r="B45" s="5"/>
      <c r="C45" s="3"/>
      <c r="D45" s="3"/>
      <c r="E45" s="5"/>
      <c r="F45" s="5"/>
      <c r="G45" s="5"/>
    </row>
    <row r="46" s="2" customFormat="1" ht="40.5" customHeight="1" spans="1:7">
      <c r="A46" s="5"/>
      <c r="B46" s="5"/>
      <c r="C46" s="3"/>
      <c r="D46" s="3"/>
      <c r="E46" s="5"/>
      <c r="F46" s="5"/>
      <c r="G46" s="5"/>
    </row>
    <row r="47" s="2" customFormat="1" ht="34.5" customHeight="1" spans="1:7">
      <c r="A47" s="5"/>
      <c r="B47" s="5"/>
      <c r="C47" s="3"/>
      <c r="D47" s="3"/>
      <c r="E47" s="5"/>
      <c r="F47" s="5"/>
      <c r="G47" s="5"/>
    </row>
    <row r="48" s="2" customFormat="1" ht="34.5" customHeight="1" spans="1:7">
      <c r="A48" s="5"/>
      <c r="B48" s="5"/>
      <c r="C48" s="3"/>
      <c r="D48" s="3"/>
      <c r="E48" s="5"/>
      <c r="F48" s="5"/>
      <c r="G48" s="5"/>
    </row>
    <row r="49" s="2" customFormat="1" ht="34.5" customHeight="1" spans="1:7">
      <c r="A49" s="5"/>
      <c r="B49" s="5"/>
      <c r="C49" s="3"/>
      <c r="D49" s="3"/>
      <c r="E49" s="5"/>
      <c r="F49" s="5"/>
      <c r="G49" s="5"/>
    </row>
    <row r="50" s="2" customFormat="1" ht="31.5" customHeight="1" spans="1:7">
      <c r="A50" s="5"/>
      <c r="B50" s="5"/>
      <c r="C50" s="3"/>
      <c r="D50" s="3"/>
      <c r="E50" s="5"/>
      <c r="F50" s="5"/>
      <c r="G50" s="5"/>
    </row>
    <row r="51" s="2" customFormat="1" ht="34.5" customHeight="1" spans="1:7">
      <c r="A51" s="5"/>
      <c r="B51" s="5"/>
      <c r="C51" s="3"/>
      <c r="D51" s="3"/>
      <c r="E51" s="5"/>
      <c r="F51" s="5"/>
      <c r="G51" s="5"/>
    </row>
    <row r="52" s="2" customFormat="1" ht="42" customHeight="1" spans="1:7">
      <c r="A52" s="5"/>
      <c r="B52" s="5"/>
      <c r="C52" s="3"/>
      <c r="D52" s="3"/>
      <c r="E52" s="5"/>
      <c r="F52" s="5"/>
      <c r="G52" s="5"/>
    </row>
    <row r="53" s="2" customFormat="1" ht="42" customHeight="1" spans="1:7">
      <c r="A53" s="5"/>
      <c r="B53" s="5"/>
      <c r="C53" s="3"/>
      <c r="D53" s="3"/>
      <c r="E53" s="5"/>
      <c r="F53" s="5"/>
      <c r="G53" s="5"/>
    </row>
    <row r="54" s="2" customFormat="1" ht="42" customHeight="1" spans="1:7">
      <c r="A54" s="5"/>
      <c r="B54" s="5"/>
      <c r="C54" s="3"/>
      <c r="D54" s="3"/>
      <c r="E54" s="5"/>
      <c r="F54" s="5"/>
      <c r="G54" s="5"/>
    </row>
    <row r="55" s="2" customFormat="1" ht="61.5" customHeight="1" spans="1:7">
      <c r="A55" s="5"/>
      <c r="B55" s="5"/>
      <c r="C55" s="3"/>
      <c r="D55" s="3"/>
      <c r="E55" s="5"/>
      <c r="F55" s="5"/>
      <c r="G55" s="5"/>
    </row>
    <row r="56" s="2" customFormat="1" ht="42" customHeight="1" spans="1:7">
      <c r="A56" s="5"/>
      <c r="B56" s="5"/>
      <c r="C56" s="3"/>
      <c r="D56" s="3"/>
      <c r="E56" s="5"/>
      <c r="F56" s="5"/>
      <c r="G56" s="5"/>
    </row>
    <row r="57" s="2" customFormat="1" ht="45" customHeight="1" spans="1:7">
      <c r="A57" s="5"/>
      <c r="B57" s="5"/>
      <c r="C57" s="3"/>
      <c r="D57" s="3"/>
      <c r="E57" s="5"/>
      <c r="F57" s="5"/>
      <c r="G57" s="5"/>
    </row>
    <row r="58" s="2" customFormat="1" ht="37.5" customHeight="1" spans="1:7">
      <c r="A58" s="5"/>
      <c r="B58" s="5"/>
      <c r="C58" s="3"/>
      <c r="D58" s="3"/>
      <c r="E58" s="5"/>
      <c r="F58" s="5"/>
      <c r="G58" s="5"/>
    </row>
    <row r="59" s="2" customFormat="1" ht="30" customHeight="1" spans="1:7">
      <c r="A59" s="5"/>
      <c r="B59" s="5"/>
      <c r="C59" s="3"/>
      <c r="D59" s="3"/>
      <c r="E59" s="5"/>
      <c r="F59" s="5"/>
      <c r="G59" s="5"/>
    </row>
    <row r="60" s="2" customFormat="1" ht="39.75" customHeight="1" spans="1:7">
      <c r="A60" s="5"/>
      <c r="B60" s="5"/>
      <c r="C60" s="3"/>
      <c r="D60" s="3"/>
      <c r="E60" s="5"/>
      <c r="F60" s="5"/>
      <c r="G60" s="5"/>
    </row>
    <row r="61" s="2" customFormat="1" ht="30" customHeight="1" spans="1:7">
      <c r="A61" s="5"/>
      <c r="B61" s="5"/>
      <c r="C61" s="3"/>
      <c r="D61" s="3"/>
      <c r="E61" s="5"/>
      <c r="F61" s="5"/>
      <c r="G61" s="5"/>
    </row>
    <row r="62" s="2" customFormat="1" ht="30" customHeight="1" spans="1:7">
      <c r="A62" s="5"/>
      <c r="B62" s="5"/>
      <c r="C62" s="3"/>
      <c r="D62" s="3"/>
      <c r="E62" s="5"/>
      <c r="F62" s="5"/>
      <c r="G62" s="5"/>
    </row>
    <row r="63" s="2" customFormat="1" ht="30" customHeight="1" spans="1:7">
      <c r="A63" s="5"/>
      <c r="B63" s="5"/>
      <c r="C63" s="3"/>
      <c r="D63" s="3"/>
      <c r="E63" s="5"/>
      <c r="F63" s="5"/>
      <c r="G63" s="5"/>
    </row>
    <row r="64" s="2" customFormat="1" ht="30" customHeight="1" spans="1:7">
      <c r="A64" s="5"/>
      <c r="B64" s="5"/>
      <c r="C64" s="3"/>
      <c r="D64" s="3"/>
      <c r="E64" s="5"/>
      <c r="F64" s="5"/>
      <c r="G64" s="5"/>
    </row>
    <row r="65" s="2" customFormat="1" ht="30" customHeight="1" spans="1:7">
      <c r="A65" s="5"/>
      <c r="B65" s="5"/>
      <c r="C65" s="3"/>
      <c r="D65" s="3"/>
      <c r="E65" s="5"/>
      <c r="F65" s="5"/>
      <c r="G65" s="5"/>
    </row>
    <row r="66" s="2" customFormat="1" ht="30" customHeight="1" spans="1:7">
      <c r="A66" s="5"/>
      <c r="B66" s="5"/>
      <c r="C66" s="3"/>
      <c r="D66" s="3"/>
      <c r="E66" s="5"/>
      <c r="F66" s="5"/>
      <c r="G66" s="5"/>
    </row>
    <row r="67" s="2" customFormat="1" ht="30" customHeight="1" spans="1:7">
      <c r="A67" s="5"/>
      <c r="B67" s="5"/>
      <c r="C67" s="3"/>
      <c r="D67" s="3"/>
      <c r="E67" s="5"/>
      <c r="F67" s="5"/>
      <c r="G67" s="5"/>
    </row>
    <row r="68" s="2" customFormat="1" ht="39.75" customHeight="1" spans="1:7">
      <c r="A68" s="5"/>
      <c r="B68" s="5"/>
      <c r="C68" s="3"/>
      <c r="D68" s="3"/>
      <c r="E68" s="5"/>
      <c r="F68" s="5"/>
      <c r="G68" s="5"/>
    </row>
    <row r="69" s="2" customFormat="1" ht="39.75" customHeight="1" spans="1:7">
      <c r="A69" s="5"/>
      <c r="B69" s="5"/>
      <c r="C69" s="3"/>
      <c r="D69" s="3"/>
      <c r="E69" s="5"/>
      <c r="F69" s="5"/>
      <c r="G69" s="5"/>
    </row>
    <row r="70" s="2" customFormat="1" ht="39.75" customHeight="1" spans="1:7">
      <c r="A70" s="5"/>
      <c r="B70" s="5"/>
      <c r="C70" s="3"/>
      <c r="D70" s="3"/>
      <c r="E70" s="5"/>
      <c r="F70" s="5"/>
      <c r="G70" s="5"/>
    </row>
    <row r="71" s="2" customFormat="1" ht="39.75" customHeight="1" spans="1:7">
      <c r="A71" s="5"/>
      <c r="B71" s="5"/>
      <c r="C71" s="3"/>
      <c r="D71" s="3"/>
      <c r="E71" s="5"/>
      <c r="F71" s="5"/>
      <c r="G71" s="5"/>
    </row>
    <row r="72" s="2" customFormat="1" ht="33.75" customHeight="1" spans="1:7">
      <c r="A72" s="5"/>
      <c r="B72" s="5"/>
      <c r="C72" s="3"/>
      <c r="D72" s="3"/>
      <c r="E72" s="5"/>
      <c r="F72" s="5"/>
      <c r="G72" s="5"/>
    </row>
    <row r="73" s="2" customFormat="1" ht="30" customHeight="1" spans="1:7">
      <c r="A73" s="5"/>
      <c r="B73" s="5"/>
      <c r="C73" s="3"/>
      <c r="D73" s="3"/>
      <c r="E73" s="5"/>
      <c r="F73" s="5"/>
      <c r="G73" s="5"/>
    </row>
    <row r="74" s="2" customFormat="1" ht="30" customHeight="1" spans="1:7">
      <c r="A74" s="5"/>
      <c r="B74" s="5"/>
      <c r="C74" s="3"/>
      <c r="D74" s="3"/>
      <c r="E74" s="5"/>
      <c r="F74" s="5"/>
      <c r="G74" s="5"/>
    </row>
    <row r="75" s="2" customFormat="1" ht="30" customHeight="1" spans="1:7">
      <c r="A75" s="5"/>
      <c r="B75" s="5"/>
      <c r="C75" s="3"/>
      <c r="D75" s="3"/>
      <c r="E75" s="5"/>
      <c r="F75" s="5"/>
      <c r="G75" s="5"/>
    </row>
    <row r="76" s="2" customFormat="1" ht="30" customHeight="1" spans="1:7">
      <c r="A76" s="5"/>
      <c r="B76" s="5"/>
      <c r="C76" s="3"/>
      <c r="D76" s="3"/>
      <c r="E76" s="5"/>
      <c r="F76" s="5"/>
      <c r="G76" s="5"/>
    </row>
    <row r="77" s="2" customFormat="1" ht="30" customHeight="1" spans="1:7">
      <c r="A77" s="5"/>
      <c r="B77" s="5"/>
      <c r="C77" s="3"/>
      <c r="D77" s="3"/>
      <c r="E77" s="5"/>
      <c r="F77" s="5"/>
      <c r="G77" s="5"/>
    </row>
    <row r="78" s="2" customFormat="1" ht="30" customHeight="1" spans="1:7">
      <c r="A78" s="5"/>
      <c r="B78" s="5"/>
      <c r="C78" s="3"/>
      <c r="D78" s="3"/>
      <c r="E78" s="5"/>
      <c r="F78" s="5"/>
      <c r="G78" s="5"/>
    </row>
    <row r="79" s="2" customFormat="1" ht="30" customHeight="1" spans="1:7">
      <c r="A79" s="5"/>
      <c r="B79" s="5"/>
      <c r="C79" s="3"/>
      <c r="D79" s="3"/>
      <c r="E79" s="5"/>
      <c r="F79" s="5"/>
      <c r="G79" s="5"/>
    </row>
    <row r="80" s="2" customFormat="1" ht="30" customHeight="1" spans="1:7">
      <c r="A80" s="5"/>
      <c r="B80" s="5"/>
      <c r="C80" s="3"/>
      <c r="D80" s="3"/>
      <c r="E80" s="5"/>
      <c r="F80" s="5"/>
      <c r="G80" s="5"/>
    </row>
    <row r="81" s="2" customFormat="1" ht="30" customHeight="1" spans="1:7">
      <c r="A81" s="5"/>
      <c r="B81" s="5"/>
      <c r="C81" s="3"/>
      <c r="D81" s="3"/>
      <c r="E81" s="5"/>
      <c r="F81" s="5"/>
      <c r="G81" s="5"/>
    </row>
    <row r="82" s="2" customFormat="1" ht="30" customHeight="1" spans="1:7">
      <c r="A82" s="5"/>
      <c r="B82" s="5"/>
      <c r="C82" s="3"/>
      <c r="D82" s="3"/>
      <c r="E82" s="5"/>
      <c r="F82" s="5"/>
      <c r="G82" s="5"/>
    </row>
    <row r="83" s="2" customFormat="1" ht="30" customHeight="1" spans="1:7">
      <c r="A83" s="5"/>
      <c r="B83" s="5"/>
      <c r="C83" s="3"/>
      <c r="D83" s="3"/>
      <c r="E83" s="5"/>
      <c r="F83" s="5"/>
      <c r="G83" s="5"/>
    </row>
    <row r="84" s="2" customFormat="1" ht="30" customHeight="1" spans="1:7">
      <c r="A84" s="5"/>
      <c r="B84" s="5"/>
      <c r="C84" s="3"/>
      <c r="D84" s="3"/>
      <c r="E84" s="5"/>
      <c r="F84" s="5"/>
      <c r="G84" s="5"/>
    </row>
    <row r="85" s="2" customFormat="1" ht="30" customHeight="1" spans="1:7">
      <c r="A85" s="5"/>
      <c r="B85" s="5"/>
      <c r="C85" s="3"/>
      <c r="D85" s="3"/>
      <c r="E85" s="5"/>
      <c r="F85" s="5"/>
      <c r="G85" s="5"/>
    </row>
    <row r="86" s="2" customFormat="1" ht="30" customHeight="1" spans="1:7">
      <c r="A86" s="5"/>
      <c r="B86" s="5"/>
      <c r="C86" s="3"/>
      <c r="D86" s="3"/>
      <c r="E86" s="5"/>
      <c r="F86" s="5"/>
      <c r="G86" s="5"/>
    </row>
    <row r="87" s="2" customFormat="1" ht="30" customHeight="1" spans="1:7">
      <c r="A87" s="5"/>
      <c r="B87" s="5"/>
      <c r="C87" s="3"/>
      <c r="D87" s="3"/>
      <c r="E87" s="5"/>
      <c r="F87" s="5"/>
      <c r="G87" s="5"/>
    </row>
    <row r="88" s="2" customFormat="1" ht="30" customHeight="1" spans="1:7">
      <c r="A88" s="5"/>
      <c r="B88" s="5"/>
      <c r="C88" s="3"/>
      <c r="D88" s="3"/>
      <c r="E88" s="5"/>
      <c r="F88" s="5"/>
      <c r="G88" s="5"/>
    </row>
    <row r="89" s="2" customFormat="1" ht="30" customHeight="1" spans="1:7">
      <c r="A89" s="5"/>
      <c r="B89" s="5"/>
      <c r="C89" s="3"/>
      <c r="D89" s="3"/>
      <c r="E89" s="5"/>
      <c r="F89" s="5"/>
      <c r="G89" s="5"/>
    </row>
    <row r="90" s="2" customFormat="1" ht="30" customHeight="1" spans="1:7">
      <c r="A90" s="5"/>
      <c r="B90" s="5"/>
      <c r="C90" s="3"/>
      <c r="D90" s="3"/>
      <c r="E90" s="5"/>
      <c r="F90" s="5"/>
      <c r="G90" s="5"/>
    </row>
    <row r="91" s="2" customFormat="1" ht="30" customHeight="1" spans="1:7">
      <c r="A91" s="5"/>
      <c r="B91" s="5"/>
      <c r="C91" s="3"/>
      <c r="D91" s="3"/>
      <c r="E91" s="5"/>
      <c r="F91" s="5"/>
      <c r="G91" s="5"/>
    </row>
    <row r="92" s="2" customFormat="1" ht="31.5" customHeight="1" spans="1:8">
      <c r="A92" s="5"/>
      <c r="B92" s="5"/>
      <c r="C92" s="3"/>
      <c r="D92" s="3"/>
      <c r="E92" s="5"/>
      <c r="F92" s="5"/>
      <c r="G92" s="5"/>
      <c r="H92" s="3"/>
    </row>
    <row r="93" s="2" customFormat="1" ht="30" customHeight="1" spans="1:8">
      <c r="A93" s="5"/>
      <c r="B93" s="5"/>
      <c r="C93" s="3"/>
      <c r="D93" s="3"/>
      <c r="E93" s="5"/>
      <c r="F93" s="5"/>
      <c r="G93" s="5"/>
      <c r="H93" s="3"/>
    </row>
    <row r="94" s="2" customFormat="1" ht="30" customHeight="1" spans="1:8">
      <c r="A94" s="5"/>
      <c r="B94" s="5"/>
      <c r="C94" s="3"/>
      <c r="D94" s="3"/>
      <c r="E94" s="5"/>
      <c r="F94" s="5"/>
      <c r="G94" s="5"/>
      <c r="H94" s="3"/>
    </row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</sheetData>
  <autoFilter ref="A5:H103">
    <extLst/>
  </autoFilter>
  <mergeCells count="25">
    <mergeCell ref="B2:F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8:C18"/>
    <mergeCell ref="J18:K18"/>
    <mergeCell ref="B20:C20"/>
    <mergeCell ref="J20:K20"/>
    <mergeCell ref="B23:C23"/>
    <mergeCell ref="J23:K23"/>
    <mergeCell ref="B28:C28"/>
    <mergeCell ref="J28:K28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S100"/>
  <sheetViews>
    <sheetView zoomScale="80" zoomScaleNormal="80" workbookViewId="0">
      <pane ySplit="5" topLeftCell="A28" activePane="bottomLeft" state="frozen"/>
      <selection/>
      <selection pane="bottomLeft" activeCell="D12" sqref="D12"/>
    </sheetView>
  </sheetViews>
  <sheetFormatPr defaultColWidth="8.88888888888889" defaultRowHeight="15.6"/>
  <cols>
    <col min="1" max="1" width="9" style="5" customWidth="1"/>
    <col min="2" max="2" width="3.88888888888889" style="5" customWidth="1"/>
    <col min="3" max="3" width="77.2222222222222" style="3" customWidth="1"/>
    <col min="4" max="4" width="19.2222222222222" style="3" customWidth="1"/>
    <col min="5" max="6" width="19.2222222222222" style="5" customWidth="1"/>
    <col min="7" max="7" width="16.8888888888889" style="5" customWidth="1"/>
    <col min="8" max="8" width="56.8055555555556" style="3" customWidth="1"/>
    <col min="9" max="9" width="8.88888888888889" style="3"/>
    <col min="10" max="10" width="3.88888888888889" style="3" customWidth="1"/>
    <col min="11" max="11" width="85" style="3" customWidth="1"/>
    <col min="12" max="12" width="14.8888888888889" style="3" customWidth="1"/>
    <col min="13" max="13" width="13.4444444444444" style="3" customWidth="1"/>
    <col min="14" max="14" width="14.4444444444444" style="3" customWidth="1"/>
    <col min="15" max="15" width="17.1111111111111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1:7">
      <c r="A2" s="7"/>
      <c r="B2" s="81"/>
      <c r="C2" s="81"/>
      <c r="D2" s="81"/>
      <c r="E2" s="81"/>
      <c r="F2" s="81"/>
      <c r="G2" s="81"/>
    </row>
    <row r="3" ht="15" customHeight="1" spans="6:7">
      <c r="F3" s="6"/>
      <c r="G3" s="6"/>
    </row>
    <row r="4" ht="30" customHeight="1" spans="1:15">
      <c r="A4" s="68"/>
      <c r="B4" s="36" t="s">
        <v>18</v>
      </c>
      <c r="C4" s="36"/>
      <c r="D4" s="36"/>
      <c r="E4" s="36"/>
      <c r="F4" s="36"/>
      <c r="G4" s="36"/>
      <c r="H4" s="36"/>
      <c r="J4" s="36" t="s">
        <v>18</v>
      </c>
      <c r="K4" s="36"/>
      <c r="L4" s="36"/>
      <c r="M4" s="36"/>
      <c r="N4" s="36"/>
      <c r="O4" s="36"/>
    </row>
    <row r="5" ht="30" customHeight="1" spans="1:15">
      <c r="A5" s="68"/>
      <c r="B5" s="10" t="s">
        <v>194</v>
      </c>
      <c r="C5" s="10"/>
      <c r="D5" s="10" t="s">
        <v>195</v>
      </c>
      <c r="E5" s="39" t="s">
        <v>196</v>
      </c>
      <c r="F5" s="40" t="s">
        <v>197</v>
      </c>
      <c r="G5" s="92" t="s">
        <v>198</v>
      </c>
      <c r="H5" s="10" t="s">
        <v>199</v>
      </c>
      <c r="J5" s="10" t="s">
        <v>194</v>
      </c>
      <c r="K5" s="10"/>
      <c r="L5" s="10"/>
      <c r="M5" s="39"/>
      <c r="N5" s="39"/>
      <c r="O5" s="10"/>
    </row>
    <row r="6" s="1" customFormat="1" ht="30" customHeight="1" spans="1:15">
      <c r="A6" s="68"/>
      <c r="B6" s="14" t="s">
        <v>309</v>
      </c>
      <c r="C6" s="14"/>
      <c r="D6" s="16"/>
      <c r="E6" s="15"/>
      <c r="F6" s="17"/>
      <c r="G6" s="17"/>
      <c r="H6" s="18"/>
      <c r="J6" s="14" t="s">
        <v>309</v>
      </c>
      <c r="K6" s="14"/>
      <c r="L6" s="30" t="s">
        <v>364</v>
      </c>
      <c r="M6" s="30" t="s">
        <v>365</v>
      </c>
      <c r="N6" s="17" t="s">
        <v>277</v>
      </c>
      <c r="O6" s="30" t="s">
        <v>278</v>
      </c>
    </row>
    <row r="7" s="2" customFormat="1" ht="51" customHeight="1" spans="1:19">
      <c r="A7" s="4"/>
      <c r="B7" s="19">
        <v>1</v>
      </c>
      <c r="C7" s="20" t="s">
        <v>295</v>
      </c>
      <c r="D7" s="19" t="s">
        <v>18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51" customHeight="1" spans="1:19">
      <c r="A8" s="4"/>
      <c r="B8" s="19">
        <v>2</v>
      </c>
      <c r="C8" s="20" t="s">
        <v>247</v>
      </c>
      <c r="D8" s="19" t="s">
        <v>18</v>
      </c>
      <c r="E8" s="19">
        <v>10</v>
      </c>
      <c r="F8" s="21">
        <v>10</v>
      </c>
      <c r="G8" s="19">
        <v>10</v>
      </c>
      <c r="H8" s="20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51" customHeight="1" spans="1:19">
      <c r="A9" s="4"/>
      <c r="B9" s="19">
        <v>3</v>
      </c>
      <c r="C9" s="41" t="s">
        <v>343</v>
      </c>
      <c r="D9" s="19" t="s">
        <v>18</v>
      </c>
      <c r="E9" s="19">
        <v>10</v>
      </c>
      <c r="F9" s="21">
        <v>10</v>
      </c>
      <c r="G9" s="19">
        <v>10</v>
      </c>
      <c r="H9" s="20"/>
      <c r="J9" s="19">
        <v>3</v>
      </c>
      <c r="K9" s="20" t="s">
        <v>366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51" customHeight="1" spans="1:19">
      <c r="A10" s="4"/>
      <c r="B10" s="19">
        <v>4</v>
      </c>
      <c r="C10" s="20" t="s">
        <v>315</v>
      </c>
      <c r="D10" s="19" t="s">
        <v>18</v>
      </c>
      <c r="E10" s="19">
        <v>10</v>
      </c>
      <c r="F10" s="21">
        <v>10</v>
      </c>
      <c r="G10" s="19">
        <v>10</v>
      </c>
      <c r="H10" s="23"/>
      <c r="J10" s="19">
        <v>4</v>
      </c>
      <c r="K10" s="41" t="s">
        <v>343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51" customHeight="1" spans="1:15">
      <c r="A11" s="4"/>
      <c r="B11" s="30" t="s">
        <v>344</v>
      </c>
      <c r="C11" s="30"/>
      <c r="D11" s="43"/>
      <c r="E11" s="42"/>
      <c r="F11" s="42"/>
      <c r="G11" s="42"/>
      <c r="H11" s="43"/>
      <c r="J11" s="19">
        <v>7</v>
      </c>
      <c r="K11" s="20" t="s">
        <v>315</v>
      </c>
      <c r="L11" s="19" t="s">
        <v>205</v>
      </c>
      <c r="M11" s="19" t="s">
        <v>209</v>
      </c>
      <c r="N11" s="19" t="s">
        <v>210</v>
      </c>
      <c r="O11" s="19" t="s">
        <v>211</v>
      </c>
    </row>
    <row r="12" s="2" customFormat="1" ht="51" customHeight="1" spans="1:15">
      <c r="A12" s="4"/>
      <c r="B12" s="19">
        <v>5</v>
      </c>
      <c r="C12" s="20" t="s">
        <v>317</v>
      </c>
      <c r="D12" s="19" t="s">
        <v>18</v>
      </c>
      <c r="E12" s="19">
        <v>10</v>
      </c>
      <c r="F12" s="21">
        <v>10</v>
      </c>
      <c r="G12" s="19">
        <v>10</v>
      </c>
      <c r="H12" s="23"/>
      <c r="J12" s="30" t="s">
        <v>344</v>
      </c>
      <c r="K12" s="30"/>
      <c r="L12" s="43"/>
      <c r="M12" s="42"/>
      <c r="N12" s="42"/>
      <c r="O12" s="43"/>
    </row>
    <row r="13" s="2" customFormat="1" ht="51" customHeight="1" spans="1:15">
      <c r="A13" s="4"/>
      <c r="B13" s="30" t="s">
        <v>163</v>
      </c>
      <c r="C13" s="30"/>
      <c r="D13" s="43"/>
      <c r="E13" s="42"/>
      <c r="F13" s="42"/>
      <c r="G13" s="42"/>
      <c r="H13" s="43"/>
      <c r="J13" s="19">
        <v>8</v>
      </c>
      <c r="K13" s="20" t="s">
        <v>317</v>
      </c>
      <c r="L13" s="19" t="s">
        <v>205</v>
      </c>
      <c r="M13" s="19" t="s">
        <v>209</v>
      </c>
      <c r="N13" s="19" t="s">
        <v>210</v>
      </c>
      <c r="O13" s="19" t="s">
        <v>211</v>
      </c>
    </row>
    <row r="14" s="2" customFormat="1" ht="51" customHeight="1" spans="1:15">
      <c r="A14" s="54"/>
      <c r="B14" s="19">
        <v>6</v>
      </c>
      <c r="C14" s="20" t="s">
        <v>253</v>
      </c>
      <c r="D14" s="19" t="s">
        <v>18</v>
      </c>
      <c r="E14" s="19">
        <v>10</v>
      </c>
      <c r="F14" s="21">
        <v>10</v>
      </c>
      <c r="G14" s="19">
        <v>10</v>
      </c>
      <c r="H14" s="23"/>
      <c r="J14" s="30" t="s">
        <v>163</v>
      </c>
      <c r="K14" s="30"/>
      <c r="L14" s="43"/>
      <c r="M14" s="42"/>
      <c r="N14" s="42"/>
      <c r="O14" s="43"/>
    </row>
    <row r="15" s="2" customFormat="1" ht="51" customHeight="1" spans="1:15">
      <c r="A15" s="4"/>
      <c r="B15" s="30" t="s">
        <v>346</v>
      </c>
      <c r="C15" s="30"/>
      <c r="D15" s="42"/>
      <c r="E15" s="42"/>
      <c r="F15" s="42"/>
      <c r="G15" s="42"/>
      <c r="H15" s="43"/>
      <c r="J15" s="19">
        <v>9</v>
      </c>
      <c r="K15" s="20" t="s">
        <v>253</v>
      </c>
      <c r="L15" s="19" t="s">
        <v>205</v>
      </c>
      <c r="M15" s="19" t="s">
        <v>209</v>
      </c>
      <c r="N15" s="19" t="s">
        <v>210</v>
      </c>
      <c r="O15" s="19" t="s">
        <v>211</v>
      </c>
    </row>
    <row r="16" s="2" customFormat="1" ht="51" customHeight="1" spans="1:15">
      <c r="A16" s="54"/>
      <c r="B16" s="19">
        <v>7</v>
      </c>
      <c r="C16" s="20" t="s">
        <v>367</v>
      </c>
      <c r="D16" s="19" t="s">
        <v>18</v>
      </c>
      <c r="E16" s="19">
        <v>15</v>
      </c>
      <c r="F16" s="21">
        <v>15</v>
      </c>
      <c r="G16" s="19">
        <v>15</v>
      </c>
      <c r="H16" s="23"/>
      <c r="J16" s="30" t="s">
        <v>346</v>
      </c>
      <c r="K16" s="30"/>
      <c r="L16" s="42"/>
      <c r="M16" s="42"/>
      <c r="N16" s="42"/>
      <c r="O16" s="43"/>
    </row>
    <row r="17" s="2" customFormat="1" ht="51" customHeight="1" spans="1:15">
      <c r="A17" s="4"/>
      <c r="B17" s="19">
        <v>8</v>
      </c>
      <c r="C17" s="20" t="s">
        <v>368</v>
      </c>
      <c r="D17" s="19" t="s">
        <v>18</v>
      </c>
      <c r="E17" s="19">
        <v>15</v>
      </c>
      <c r="F17" s="21">
        <v>15</v>
      </c>
      <c r="G17" s="19">
        <v>15</v>
      </c>
      <c r="H17" s="23"/>
      <c r="J17" s="19">
        <v>10</v>
      </c>
      <c r="K17" s="20" t="s">
        <v>367</v>
      </c>
      <c r="L17" s="19" t="s">
        <v>205</v>
      </c>
      <c r="M17" s="19" t="s">
        <v>209</v>
      </c>
      <c r="N17" s="19" t="s">
        <v>210</v>
      </c>
      <c r="O17" s="19" t="s">
        <v>211</v>
      </c>
    </row>
    <row r="18" s="2" customFormat="1" ht="51" customHeight="1" spans="1:15">
      <c r="A18" s="54"/>
      <c r="B18" s="19">
        <v>9</v>
      </c>
      <c r="C18" s="23" t="s">
        <v>369</v>
      </c>
      <c r="D18" s="19" t="s">
        <v>18</v>
      </c>
      <c r="E18" s="19">
        <v>10</v>
      </c>
      <c r="F18" s="21">
        <v>10</v>
      </c>
      <c r="G18" s="19">
        <v>10</v>
      </c>
      <c r="H18" s="20"/>
      <c r="J18" s="19">
        <v>11</v>
      </c>
      <c r="K18" s="20" t="s">
        <v>368</v>
      </c>
      <c r="L18" s="19" t="s">
        <v>205</v>
      </c>
      <c r="M18" s="19" t="s">
        <v>209</v>
      </c>
      <c r="N18" s="19" t="s">
        <v>210</v>
      </c>
      <c r="O18" s="19" t="s">
        <v>211</v>
      </c>
    </row>
    <row r="19" s="2" customFormat="1" ht="51" customHeight="1" spans="1:15">
      <c r="A19" s="4"/>
      <c r="B19" s="109" t="s">
        <v>320</v>
      </c>
      <c r="C19" s="109"/>
      <c r="D19" s="43"/>
      <c r="E19" s="42"/>
      <c r="F19" s="42"/>
      <c r="G19" s="42"/>
      <c r="H19" s="43"/>
      <c r="J19" s="19">
        <v>12</v>
      </c>
      <c r="K19" s="23" t="s">
        <v>369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51" customHeight="1" spans="1:15">
      <c r="A20" s="4"/>
      <c r="B20" s="19">
        <v>10</v>
      </c>
      <c r="C20" s="20" t="s">
        <v>350</v>
      </c>
      <c r="D20" s="19" t="s">
        <v>18</v>
      </c>
      <c r="E20" s="19">
        <v>15</v>
      </c>
      <c r="F20" s="21">
        <v>15</v>
      </c>
      <c r="G20" s="19">
        <v>15</v>
      </c>
      <c r="H20" s="23"/>
      <c r="J20" s="109" t="s">
        <v>320</v>
      </c>
      <c r="K20" s="109"/>
      <c r="L20" s="43"/>
      <c r="M20" s="42"/>
      <c r="N20" s="42"/>
      <c r="O20" s="43"/>
    </row>
    <row r="21" s="2" customFormat="1" ht="51" customHeight="1" spans="1:15">
      <c r="A21" s="68"/>
      <c r="B21" s="110" t="s">
        <v>327</v>
      </c>
      <c r="C21" s="110"/>
      <c r="D21" s="45"/>
      <c r="E21" s="42"/>
      <c r="F21" s="42"/>
      <c r="G21" s="42"/>
      <c r="H21" s="43"/>
      <c r="J21" s="19">
        <v>13</v>
      </c>
      <c r="K21" s="20" t="s">
        <v>350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51" customHeight="1" spans="1:15">
      <c r="A22" s="68"/>
      <c r="B22" s="19">
        <v>11</v>
      </c>
      <c r="C22" s="23" t="s">
        <v>352</v>
      </c>
      <c r="D22" s="19" t="s">
        <v>18</v>
      </c>
      <c r="E22" s="19">
        <v>5</v>
      </c>
      <c r="F22" s="21">
        <v>5</v>
      </c>
      <c r="G22" s="19">
        <v>5</v>
      </c>
      <c r="H22" s="23"/>
      <c r="J22" s="19">
        <v>14</v>
      </c>
      <c r="K22" s="20" t="s">
        <v>370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51" customHeight="1" spans="1:15">
      <c r="A23" s="4"/>
      <c r="B23" s="19">
        <v>12</v>
      </c>
      <c r="C23" s="23" t="s">
        <v>329</v>
      </c>
      <c r="D23" s="19" t="s">
        <v>18</v>
      </c>
      <c r="E23" s="19">
        <v>5</v>
      </c>
      <c r="F23" s="21">
        <v>5</v>
      </c>
      <c r="G23" s="19">
        <v>5</v>
      </c>
      <c r="H23" s="20"/>
      <c r="J23" s="110" t="s">
        <v>120</v>
      </c>
      <c r="K23" s="110"/>
      <c r="L23" s="42"/>
      <c r="M23" s="42"/>
      <c r="N23" s="42"/>
      <c r="O23" s="43"/>
    </row>
    <row r="24" s="2" customFormat="1" ht="51" customHeight="1" spans="1:15">
      <c r="A24" s="4"/>
      <c r="B24" s="19">
        <v>13</v>
      </c>
      <c r="C24" s="102" t="s">
        <v>371</v>
      </c>
      <c r="D24" s="19" t="s">
        <v>18</v>
      </c>
      <c r="E24" s="19">
        <v>5</v>
      </c>
      <c r="F24" s="21">
        <v>5</v>
      </c>
      <c r="G24" s="19">
        <v>5</v>
      </c>
      <c r="H24" s="20"/>
      <c r="J24" s="44">
        <v>15</v>
      </c>
      <c r="K24" s="20" t="s">
        <v>262</v>
      </c>
      <c r="L24" s="19" t="s">
        <v>205</v>
      </c>
      <c r="M24" s="19" t="s">
        <v>209</v>
      </c>
      <c r="N24" s="19" t="s">
        <v>210</v>
      </c>
      <c r="O24" s="19" t="s">
        <v>211</v>
      </c>
    </row>
    <row r="25" s="2" customFormat="1" ht="51" customHeight="1" spans="1:15">
      <c r="A25" s="54"/>
      <c r="B25" s="19">
        <v>14</v>
      </c>
      <c r="C25" s="102" t="s">
        <v>372</v>
      </c>
      <c r="D25" s="19" t="s">
        <v>18</v>
      </c>
      <c r="E25" s="19">
        <v>5</v>
      </c>
      <c r="F25" s="21">
        <v>5</v>
      </c>
      <c r="G25" s="19">
        <v>5</v>
      </c>
      <c r="H25" s="20"/>
      <c r="J25" s="19">
        <v>16</v>
      </c>
      <c r="K25" s="20" t="s">
        <v>351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51" customHeight="1" spans="1:15">
      <c r="A26" s="54"/>
      <c r="B26" s="14" t="s">
        <v>305</v>
      </c>
      <c r="C26" s="14"/>
      <c r="D26" s="42"/>
      <c r="E26" s="42"/>
      <c r="F26" s="42"/>
      <c r="G26" s="42"/>
      <c r="H26" s="43"/>
      <c r="J26" s="110" t="s">
        <v>327</v>
      </c>
      <c r="K26" s="110"/>
      <c r="L26" s="45"/>
      <c r="M26" s="42"/>
      <c r="N26" s="42"/>
      <c r="O26" s="43"/>
    </row>
    <row r="27" s="2" customFormat="1" ht="51" customHeight="1" spans="1:15">
      <c r="A27" s="54"/>
      <c r="B27" s="19">
        <v>15</v>
      </c>
      <c r="C27" s="23" t="s">
        <v>306</v>
      </c>
      <c r="D27" s="19" t="s">
        <v>18</v>
      </c>
      <c r="E27" s="19">
        <v>5</v>
      </c>
      <c r="F27" s="21">
        <v>5</v>
      </c>
      <c r="G27" s="19">
        <v>5</v>
      </c>
      <c r="H27" s="20"/>
      <c r="J27" s="19">
        <v>17</v>
      </c>
      <c r="K27" s="23" t="s">
        <v>353</v>
      </c>
      <c r="L27" s="19" t="s">
        <v>205</v>
      </c>
      <c r="M27" s="19" t="s">
        <v>209</v>
      </c>
      <c r="N27" s="19" t="s">
        <v>210</v>
      </c>
      <c r="O27" s="19" t="s">
        <v>211</v>
      </c>
    </row>
    <row r="28" s="2" customFormat="1" ht="51" customHeight="1" spans="1:15">
      <c r="A28" s="54"/>
      <c r="B28" s="19">
        <v>16</v>
      </c>
      <c r="C28" s="23" t="s">
        <v>373</v>
      </c>
      <c r="D28" s="19" t="s">
        <v>18</v>
      </c>
      <c r="E28" s="19">
        <v>5</v>
      </c>
      <c r="F28" s="21">
        <v>5</v>
      </c>
      <c r="G28" s="19">
        <v>5</v>
      </c>
      <c r="H28" s="20"/>
      <c r="J28" s="19"/>
      <c r="K28" s="23"/>
      <c r="L28" s="19"/>
      <c r="M28" s="19"/>
      <c r="N28" s="19"/>
      <c r="O28" s="19"/>
    </row>
    <row r="29" s="2" customFormat="1" ht="51" customHeight="1" spans="1:15">
      <c r="A29" s="4"/>
      <c r="B29" s="66"/>
      <c r="C29" s="65" t="s">
        <v>335</v>
      </c>
      <c r="D29" s="23"/>
      <c r="E29" s="19">
        <f>SUM(E7:E28)</f>
        <v>155</v>
      </c>
      <c r="F29" s="21">
        <f>SUM(F5:F28)</f>
        <v>155</v>
      </c>
      <c r="G29" s="19">
        <f>SUM(G5:G28)</f>
        <v>155</v>
      </c>
      <c r="H29" s="23"/>
      <c r="J29" s="19">
        <v>18</v>
      </c>
      <c r="K29" s="23" t="s">
        <v>329</v>
      </c>
      <c r="L29" s="19" t="s">
        <v>205</v>
      </c>
      <c r="M29" s="19" t="s">
        <v>209</v>
      </c>
      <c r="N29" s="19" t="s">
        <v>210</v>
      </c>
      <c r="O29" s="19" t="s">
        <v>211</v>
      </c>
    </row>
    <row r="30" s="2" customFormat="1" ht="51" customHeight="1" spans="1:15">
      <c r="A30" s="4"/>
      <c r="B30" s="66"/>
      <c r="C30" s="65" t="s">
        <v>271</v>
      </c>
      <c r="D30" s="64"/>
      <c r="E30" s="19">
        <f>(E29/E29)*100</f>
        <v>100</v>
      </c>
      <c r="F30" s="26">
        <f>+F29/E29*100</f>
        <v>100</v>
      </c>
      <c r="G30" s="27">
        <f>+G29/E29*100</f>
        <v>100</v>
      </c>
      <c r="H30" s="23"/>
      <c r="J30" s="14" t="s">
        <v>305</v>
      </c>
      <c r="K30" s="14"/>
      <c r="L30" s="42"/>
      <c r="M30" s="42"/>
      <c r="N30" s="42"/>
      <c r="O30" s="43"/>
    </row>
    <row r="31" s="2" customFormat="1" ht="51" customHeight="1" spans="1:15">
      <c r="A31" s="4"/>
      <c r="B31" s="5"/>
      <c r="C31" s="3"/>
      <c r="D31" s="3"/>
      <c r="E31" s="5"/>
      <c r="F31" s="4"/>
      <c r="G31" s="4"/>
      <c r="J31" s="19">
        <v>19</v>
      </c>
      <c r="K31" s="23" t="s">
        <v>269</v>
      </c>
      <c r="L31" s="19" t="s">
        <v>205</v>
      </c>
      <c r="M31" s="19" t="s">
        <v>209</v>
      </c>
      <c r="N31" s="19" t="s">
        <v>210</v>
      </c>
      <c r="O31" s="19" t="s">
        <v>211</v>
      </c>
    </row>
    <row r="32" s="2" customFormat="1" ht="51" customHeight="1" spans="1:15">
      <c r="A32" s="68"/>
      <c r="B32" s="5"/>
      <c r="C32" s="3"/>
      <c r="D32" s="3"/>
      <c r="E32" s="5"/>
      <c r="F32" s="5"/>
      <c r="G32" s="5"/>
      <c r="J32" s="19">
        <v>20</v>
      </c>
      <c r="K32" s="48" t="s">
        <v>374</v>
      </c>
      <c r="L32" s="19" t="s">
        <v>205</v>
      </c>
      <c r="M32" s="19" t="s">
        <v>209</v>
      </c>
      <c r="N32" s="19" t="s">
        <v>210</v>
      </c>
      <c r="O32" s="19" t="s">
        <v>211</v>
      </c>
    </row>
    <row r="33" s="2" customFormat="1" ht="51" customHeight="1" spans="1:15">
      <c r="A33" s="4"/>
      <c r="B33" s="5"/>
      <c r="C33" s="3"/>
      <c r="D33" s="3"/>
      <c r="E33" s="5"/>
      <c r="F33" s="5"/>
      <c r="G33" s="5"/>
      <c r="J33" s="19">
        <v>21</v>
      </c>
      <c r="K33" s="111" t="s">
        <v>356</v>
      </c>
      <c r="L33" s="19" t="s">
        <v>205</v>
      </c>
      <c r="M33" s="19" t="s">
        <v>209</v>
      </c>
      <c r="N33" s="19" t="s">
        <v>210</v>
      </c>
      <c r="O33" s="19" t="s">
        <v>211</v>
      </c>
    </row>
    <row r="34" s="2" customFormat="1" ht="51" customHeight="1" spans="1:15">
      <c r="A34" s="4"/>
      <c r="B34" s="5"/>
      <c r="C34" s="3"/>
      <c r="D34" s="3"/>
      <c r="E34" s="5"/>
      <c r="F34" s="5"/>
      <c r="G34" s="5"/>
      <c r="J34" s="19">
        <v>22</v>
      </c>
      <c r="K34" s="23" t="s">
        <v>306</v>
      </c>
      <c r="L34" s="19" t="s">
        <v>205</v>
      </c>
      <c r="M34" s="19" t="s">
        <v>209</v>
      </c>
      <c r="N34" s="19" t="s">
        <v>210</v>
      </c>
      <c r="O34" s="19" t="s">
        <v>211</v>
      </c>
    </row>
    <row r="35" s="2" customFormat="1" ht="51" customHeight="1" spans="1:15">
      <c r="A35" s="4"/>
      <c r="B35" s="5"/>
      <c r="C35" s="3"/>
      <c r="D35" s="3"/>
      <c r="E35" s="5"/>
      <c r="F35" s="5"/>
      <c r="G35" s="5"/>
      <c r="J35" s="66"/>
      <c r="K35" s="65" t="s">
        <v>335</v>
      </c>
      <c r="L35" s="23"/>
      <c r="M35" s="19"/>
      <c r="N35" s="19"/>
      <c r="O35" s="23"/>
    </row>
    <row r="36" s="2" customFormat="1" ht="51" customHeight="1" spans="1:15">
      <c r="A36" s="4"/>
      <c r="B36" s="5"/>
      <c r="C36" s="3"/>
      <c r="D36" s="3"/>
      <c r="E36" s="5"/>
      <c r="F36" s="5"/>
      <c r="G36" s="5"/>
      <c r="J36" s="66"/>
      <c r="K36" s="65" t="s">
        <v>271</v>
      </c>
      <c r="L36" s="64"/>
      <c r="M36" s="19"/>
      <c r="N36" s="27"/>
      <c r="O36" s="23"/>
    </row>
    <row r="37" s="2" customFormat="1" ht="51" customHeight="1" spans="1:7">
      <c r="A37" s="5"/>
      <c r="B37" s="5"/>
      <c r="C37" s="3"/>
      <c r="D37" s="3"/>
      <c r="E37" s="5"/>
      <c r="F37" s="5"/>
      <c r="G37" s="5"/>
    </row>
    <row r="38" s="2" customFormat="1" ht="51" customHeight="1" spans="1:7">
      <c r="A38" s="5"/>
      <c r="B38" s="5"/>
      <c r="C38" s="3"/>
      <c r="D38" s="3"/>
      <c r="E38" s="5"/>
      <c r="F38" s="5"/>
      <c r="G38" s="5"/>
    </row>
    <row r="39" s="2" customFormat="1" ht="42" customHeight="1" spans="1:7">
      <c r="A39" s="5"/>
      <c r="B39" s="5"/>
      <c r="C39" s="3"/>
      <c r="D39" s="3"/>
      <c r="E39" s="5"/>
      <c r="F39" s="5"/>
      <c r="G39" s="5"/>
    </row>
    <row r="40" s="2" customFormat="1" ht="42" customHeight="1" spans="1:7">
      <c r="A40" s="5"/>
      <c r="B40" s="5"/>
      <c r="C40" s="3"/>
      <c r="D40" s="3"/>
      <c r="E40" s="5"/>
      <c r="F40" s="5"/>
      <c r="G40" s="5"/>
    </row>
    <row r="41" s="2" customFormat="1" ht="39.75" customHeight="1" spans="1:7">
      <c r="A41" s="5"/>
      <c r="B41" s="5"/>
      <c r="C41" s="3"/>
      <c r="D41" s="3"/>
      <c r="E41" s="5"/>
      <c r="F41" s="5"/>
      <c r="G41" s="5"/>
    </row>
    <row r="42" s="2" customFormat="1" ht="33" customHeight="1" spans="1:7">
      <c r="A42" s="5"/>
      <c r="B42" s="5"/>
      <c r="C42" s="3"/>
      <c r="D42" s="3"/>
      <c r="E42" s="5"/>
      <c r="F42" s="5"/>
      <c r="G42" s="5"/>
    </row>
    <row r="43" s="2" customFormat="1" ht="51" customHeight="1" spans="1:7">
      <c r="A43" s="5"/>
      <c r="B43" s="5"/>
      <c r="C43" s="3"/>
      <c r="D43" s="3"/>
      <c r="E43" s="5"/>
      <c r="F43" s="5"/>
      <c r="G43" s="5"/>
    </row>
    <row r="44" s="2" customFormat="1" ht="40.5" customHeight="1" spans="1:7">
      <c r="A44" s="5"/>
      <c r="B44" s="5"/>
      <c r="C44" s="3"/>
      <c r="D44" s="3"/>
      <c r="E44" s="5"/>
      <c r="F44" s="5"/>
      <c r="G44" s="5"/>
    </row>
    <row r="45" s="2" customFormat="1" ht="34.5" customHeight="1" spans="1:7">
      <c r="A45" s="5"/>
      <c r="B45" s="5"/>
      <c r="C45" s="3"/>
      <c r="D45" s="3"/>
      <c r="E45" s="5"/>
      <c r="F45" s="5"/>
      <c r="G45" s="5"/>
    </row>
    <row r="46" s="2" customFormat="1" ht="34.5" customHeight="1" spans="1:7">
      <c r="A46" s="5"/>
      <c r="B46" s="5"/>
      <c r="C46" s="3"/>
      <c r="D46" s="3"/>
      <c r="E46" s="5"/>
      <c r="F46" s="5"/>
      <c r="G46" s="5"/>
    </row>
    <row r="47" s="2" customFormat="1" ht="34.5" customHeight="1" spans="1:7">
      <c r="A47" s="5"/>
      <c r="B47" s="5"/>
      <c r="C47" s="3"/>
      <c r="D47" s="3"/>
      <c r="E47" s="5"/>
      <c r="F47" s="5"/>
      <c r="G47" s="5"/>
    </row>
    <row r="48" s="2" customFormat="1" ht="31.5" customHeight="1" spans="1:7">
      <c r="A48" s="5"/>
      <c r="B48" s="5"/>
      <c r="C48" s="3"/>
      <c r="D48" s="3"/>
      <c r="E48" s="5"/>
      <c r="F48" s="5"/>
      <c r="G48" s="5"/>
    </row>
    <row r="49" s="2" customFormat="1" ht="34.5" customHeight="1" spans="1:7">
      <c r="A49" s="5"/>
      <c r="B49" s="5"/>
      <c r="C49" s="3"/>
      <c r="D49" s="3"/>
      <c r="E49" s="5"/>
      <c r="F49" s="5"/>
      <c r="G49" s="5"/>
    </row>
    <row r="50" s="2" customFormat="1" ht="42" customHeight="1" spans="1:7">
      <c r="A50" s="5"/>
      <c r="B50" s="5"/>
      <c r="C50" s="3"/>
      <c r="D50" s="3"/>
      <c r="E50" s="5"/>
      <c r="F50" s="5"/>
      <c r="G50" s="5"/>
    </row>
    <row r="51" s="2" customFormat="1" ht="42" customHeight="1" spans="1:7">
      <c r="A51" s="5"/>
      <c r="B51" s="5"/>
      <c r="C51" s="3"/>
      <c r="D51" s="3"/>
      <c r="E51" s="5"/>
      <c r="F51" s="5"/>
      <c r="G51" s="5"/>
    </row>
    <row r="52" s="2" customFormat="1" ht="42" customHeight="1" spans="1:7">
      <c r="A52" s="5"/>
      <c r="B52" s="5"/>
      <c r="C52" s="3"/>
      <c r="D52" s="3"/>
      <c r="E52" s="5"/>
      <c r="F52" s="5"/>
      <c r="G52" s="5"/>
    </row>
    <row r="53" s="2" customFormat="1" ht="61.5" customHeight="1" spans="1:7">
      <c r="A53" s="5"/>
      <c r="B53" s="5"/>
      <c r="C53" s="3"/>
      <c r="D53" s="3"/>
      <c r="E53" s="5"/>
      <c r="F53" s="5"/>
      <c r="G53" s="5"/>
    </row>
    <row r="54" s="2" customFormat="1" ht="42" customHeight="1" spans="1:7">
      <c r="A54" s="5"/>
      <c r="B54" s="5"/>
      <c r="C54" s="3"/>
      <c r="D54" s="3"/>
      <c r="E54" s="5"/>
      <c r="F54" s="5"/>
      <c r="G54" s="5"/>
    </row>
    <row r="55" s="2" customFormat="1" ht="45" customHeight="1" spans="1:7">
      <c r="A55" s="5"/>
      <c r="B55" s="5"/>
      <c r="C55" s="3"/>
      <c r="D55" s="3"/>
      <c r="E55" s="5"/>
      <c r="F55" s="5"/>
      <c r="G55" s="5"/>
    </row>
    <row r="56" s="2" customFormat="1" ht="37.5" customHeight="1" spans="1:7">
      <c r="A56" s="5"/>
      <c r="B56" s="5"/>
      <c r="C56" s="3"/>
      <c r="D56" s="3"/>
      <c r="E56" s="5"/>
      <c r="F56" s="5"/>
      <c r="G56" s="5"/>
    </row>
    <row r="57" s="2" customFormat="1" ht="30" customHeight="1" spans="1:7">
      <c r="A57" s="5"/>
      <c r="B57" s="5"/>
      <c r="C57" s="3"/>
      <c r="D57" s="3"/>
      <c r="E57" s="5"/>
      <c r="F57" s="5"/>
      <c r="G57" s="5"/>
    </row>
    <row r="58" s="2" customFormat="1" ht="39.75" customHeight="1" spans="1:7">
      <c r="A58" s="5"/>
      <c r="B58" s="5"/>
      <c r="C58" s="3"/>
      <c r="D58" s="3"/>
      <c r="E58" s="5"/>
      <c r="F58" s="5"/>
      <c r="G58" s="5"/>
    </row>
    <row r="59" s="2" customFormat="1" ht="30" customHeight="1" spans="1:7">
      <c r="A59" s="5"/>
      <c r="B59" s="5"/>
      <c r="C59" s="3"/>
      <c r="D59" s="3"/>
      <c r="E59" s="5"/>
      <c r="F59" s="5"/>
      <c r="G59" s="5"/>
    </row>
    <row r="60" s="2" customFormat="1" ht="30" customHeight="1" spans="1:7">
      <c r="A60" s="5"/>
      <c r="B60" s="5"/>
      <c r="C60" s="3"/>
      <c r="D60" s="3"/>
      <c r="E60" s="5"/>
      <c r="F60" s="5"/>
      <c r="G60" s="5"/>
    </row>
    <row r="61" s="2" customFormat="1" ht="30" customHeight="1" spans="1:7">
      <c r="A61" s="5"/>
      <c r="B61" s="5"/>
      <c r="C61" s="3"/>
      <c r="D61" s="3"/>
      <c r="E61" s="5"/>
      <c r="F61" s="5"/>
      <c r="G61" s="5"/>
    </row>
    <row r="62" s="2" customFormat="1" ht="30" customHeight="1" spans="1:7">
      <c r="A62" s="5"/>
      <c r="B62" s="5"/>
      <c r="C62" s="3"/>
      <c r="D62" s="3"/>
      <c r="E62" s="5"/>
      <c r="F62" s="5"/>
      <c r="G62" s="5"/>
    </row>
    <row r="63" s="2" customFormat="1" ht="30" customHeight="1" spans="1:7">
      <c r="A63" s="5"/>
      <c r="B63" s="5"/>
      <c r="C63" s="3"/>
      <c r="D63" s="3"/>
      <c r="E63" s="5"/>
      <c r="F63" s="5"/>
      <c r="G63" s="5"/>
    </row>
    <row r="64" s="2" customFormat="1" ht="30" customHeight="1" spans="1:7">
      <c r="A64" s="5"/>
      <c r="B64" s="5"/>
      <c r="C64" s="3"/>
      <c r="D64" s="3"/>
      <c r="E64" s="5"/>
      <c r="F64" s="5"/>
      <c r="G64" s="5"/>
    </row>
    <row r="65" s="2" customFormat="1" ht="30" customHeight="1" spans="1:7">
      <c r="A65" s="5"/>
      <c r="B65" s="5"/>
      <c r="C65" s="3"/>
      <c r="D65" s="3"/>
      <c r="E65" s="5"/>
      <c r="F65" s="5"/>
      <c r="G65" s="5"/>
    </row>
    <row r="66" s="2" customFormat="1" ht="39.75" customHeight="1" spans="1:7">
      <c r="A66" s="5"/>
      <c r="B66" s="5"/>
      <c r="C66" s="3"/>
      <c r="D66" s="3"/>
      <c r="E66" s="5"/>
      <c r="F66" s="5"/>
      <c r="G66" s="5"/>
    </row>
    <row r="67" s="2" customFormat="1" ht="39.75" customHeight="1" spans="1:7">
      <c r="A67" s="5"/>
      <c r="B67" s="5"/>
      <c r="C67" s="3"/>
      <c r="D67" s="3"/>
      <c r="E67" s="5"/>
      <c r="F67" s="5"/>
      <c r="G67" s="5"/>
    </row>
    <row r="68" s="2" customFormat="1" ht="39.75" customHeight="1" spans="1:7">
      <c r="A68" s="5"/>
      <c r="B68" s="5"/>
      <c r="C68" s="3"/>
      <c r="D68" s="3"/>
      <c r="E68" s="5"/>
      <c r="F68" s="5"/>
      <c r="G68" s="5"/>
    </row>
    <row r="69" s="2" customFormat="1" ht="39.75" customHeight="1" spans="1:7">
      <c r="A69" s="5"/>
      <c r="B69" s="5"/>
      <c r="C69" s="3"/>
      <c r="D69" s="3"/>
      <c r="E69" s="5"/>
      <c r="F69" s="5"/>
      <c r="G69" s="5"/>
    </row>
    <row r="70" s="2" customFormat="1" ht="33.75" customHeight="1" spans="1:7">
      <c r="A70" s="5"/>
      <c r="B70" s="5"/>
      <c r="C70" s="3"/>
      <c r="D70" s="3"/>
      <c r="E70" s="5"/>
      <c r="F70" s="5"/>
      <c r="G70" s="5"/>
    </row>
    <row r="71" s="2" customFormat="1" ht="30" customHeight="1" spans="1:7">
      <c r="A71" s="5"/>
      <c r="B71" s="5"/>
      <c r="C71" s="3"/>
      <c r="D71" s="3"/>
      <c r="E71" s="5"/>
      <c r="F71" s="5"/>
      <c r="G71" s="5"/>
    </row>
    <row r="72" s="2" customFormat="1" ht="30" customHeight="1" spans="1:7">
      <c r="A72" s="5"/>
      <c r="B72" s="5"/>
      <c r="C72" s="3"/>
      <c r="D72" s="3"/>
      <c r="E72" s="5"/>
      <c r="F72" s="5"/>
      <c r="G72" s="5"/>
    </row>
    <row r="73" s="2" customFormat="1" ht="30" customHeight="1" spans="1:7">
      <c r="A73" s="5"/>
      <c r="B73" s="5"/>
      <c r="C73" s="3"/>
      <c r="D73" s="3"/>
      <c r="E73" s="5"/>
      <c r="F73" s="5"/>
      <c r="G73" s="5"/>
    </row>
    <row r="74" s="2" customFormat="1" ht="30" customHeight="1" spans="1:7">
      <c r="A74" s="5"/>
      <c r="B74" s="5"/>
      <c r="C74" s="3"/>
      <c r="D74" s="3"/>
      <c r="E74" s="5"/>
      <c r="F74" s="5"/>
      <c r="G74" s="5"/>
    </row>
    <row r="75" s="2" customFormat="1" ht="30" customHeight="1" spans="1:7">
      <c r="A75" s="5"/>
      <c r="B75" s="5"/>
      <c r="C75" s="3"/>
      <c r="D75" s="3"/>
      <c r="E75" s="5"/>
      <c r="F75" s="5"/>
      <c r="G75" s="5"/>
    </row>
    <row r="76" s="2" customFormat="1" ht="30" customHeight="1" spans="1:7">
      <c r="A76" s="5"/>
      <c r="B76" s="5"/>
      <c r="C76" s="3"/>
      <c r="D76" s="3"/>
      <c r="E76" s="5"/>
      <c r="F76" s="5"/>
      <c r="G76" s="5"/>
    </row>
    <row r="77" s="2" customFormat="1" ht="30" customHeight="1" spans="1:7">
      <c r="A77" s="5"/>
      <c r="B77" s="5"/>
      <c r="C77" s="3"/>
      <c r="D77" s="3"/>
      <c r="E77" s="5"/>
      <c r="F77" s="5"/>
      <c r="G77" s="5"/>
    </row>
    <row r="78" s="2" customFormat="1" ht="30" customHeight="1" spans="1:7">
      <c r="A78" s="5"/>
      <c r="B78" s="5"/>
      <c r="C78" s="3"/>
      <c r="D78" s="3"/>
      <c r="E78" s="5"/>
      <c r="F78" s="5"/>
      <c r="G78" s="5"/>
    </row>
    <row r="79" s="2" customFormat="1" ht="30" customHeight="1" spans="1:7">
      <c r="A79" s="5"/>
      <c r="B79" s="5"/>
      <c r="C79" s="3"/>
      <c r="D79" s="3"/>
      <c r="E79" s="5"/>
      <c r="F79" s="5"/>
      <c r="G79" s="5"/>
    </row>
    <row r="80" s="2" customFormat="1" ht="30" customHeight="1" spans="1:7">
      <c r="A80" s="5"/>
      <c r="B80" s="5"/>
      <c r="C80" s="3"/>
      <c r="D80" s="3"/>
      <c r="E80" s="5"/>
      <c r="F80" s="5"/>
      <c r="G80" s="5"/>
    </row>
    <row r="81" s="2" customFormat="1" ht="30" customHeight="1" spans="1:7">
      <c r="A81" s="5"/>
      <c r="B81" s="5"/>
      <c r="C81" s="3"/>
      <c r="D81" s="3"/>
      <c r="E81" s="5"/>
      <c r="F81" s="5"/>
      <c r="G81" s="5"/>
    </row>
    <row r="82" s="2" customFormat="1" ht="30" customHeight="1" spans="1:7">
      <c r="A82" s="5"/>
      <c r="B82" s="5"/>
      <c r="C82" s="3"/>
      <c r="D82" s="3"/>
      <c r="E82" s="5"/>
      <c r="F82" s="5"/>
      <c r="G82" s="5"/>
    </row>
    <row r="83" s="2" customFormat="1" ht="30" customHeight="1" spans="1:7">
      <c r="A83" s="5"/>
      <c r="B83" s="5"/>
      <c r="C83" s="3"/>
      <c r="D83" s="3"/>
      <c r="E83" s="5"/>
      <c r="F83" s="5"/>
      <c r="G83" s="5"/>
    </row>
    <row r="84" s="2" customFormat="1" ht="30" customHeight="1" spans="1:7">
      <c r="A84" s="5"/>
      <c r="B84" s="5"/>
      <c r="C84" s="3"/>
      <c r="D84" s="3"/>
      <c r="E84" s="5"/>
      <c r="F84" s="5"/>
      <c r="G84" s="5"/>
    </row>
    <row r="85" s="2" customFormat="1" ht="30" customHeight="1" spans="1:8">
      <c r="A85" s="5"/>
      <c r="B85" s="5"/>
      <c r="C85" s="3"/>
      <c r="D85" s="3"/>
      <c r="E85" s="5"/>
      <c r="F85" s="5"/>
      <c r="G85" s="5"/>
      <c r="H85" s="3"/>
    </row>
    <row r="86" s="2" customFormat="1" ht="30" customHeight="1" spans="1:8">
      <c r="A86" s="5"/>
      <c r="B86" s="5"/>
      <c r="C86" s="3"/>
      <c r="D86" s="3"/>
      <c r="E86" s="5"/>
      <c r="F86" s="5"/>
      <c r="G86" s="5"/>
      <c r="H86" s="3"/>
    </row>
    <row r="87" s="2" customFormat="1" ht="30" customHeight="1" spans="1:8">
      <c r="A87" s="5"/>
      <c r="B87" s="5"/>
      <c r="C87" s="3"/>
      <c r="D87" s="3"/>
      <c r="E87" s="5"/>
      <c r="F87" s="5"/>
      <c r="G87" s="5"/>
      <c r="H87" s="3"/>
    </row>
    <row r="88" s="2" customFormat="1" ht="30" customHeight="1" spans="1:8">
      <c r="A88" s="5"/>
      <c r="B88" s="5"/>
      <c r="C88" s="3"/>
      <c r="D88" s="3"/>
      <c r="E88" s="5"/>
      <c r="F88" s="5"/>
      <c r="G88" s="5"/>
      <c r="H88" s="3"/>
    </row>
    <row r="89" s="2" customFormat="1" ht="30" customHeight="1" spans="1:8">
      <c r="A89" s="5"/>
      <c r="B89" s="5"/>
      <c r="C89" s="3"/>
      <c r="D89" s="3"/>
      <c r="E89" s="5"/>
      <c r="F89" s="5"/>
      <c r="G89" s="5"/>
      <c r="H89" s="3"/>
    </row>
    <row r="90" s="2" customFormat="1" ht="31.5" customHeight="1" spans="1:8">
      <c r="A90" s="5"/>
      <c r="B90" s="5"/>
      <c r="C90" s="3"/>
      <c r="D90" s="3"/>
      <c r="E90" s="5"/>
      <c r="F90" s="5"/>
      <c r="G90" s="5"/>
      <c r="H90" s="3"/>
    </row>
    <row r="91" s="2" customFormat="1" ht="30" customHeight="1" spans="1:8">
      <c r="A91" s="5"/>
      <c r="B91" s="5"/>
      <c r="C91" s="3"/>
      <c r="D91" s="3"/>
      <c r="E91" s="5"/>
      <c r="F91" s="5"/>
      <c r="G91" s="5"/>
      <c r="H91" s="3"/>
    </row>
    <row r="92" s="2" customFormat="1" ht="30" customHeight="1" spans="1:15">
      <c r="A92" s="5"/>
      <c r="B92" s="5"/>
      <c r="C92" s="3"/>
      <c r="D92" s="3"/>
      <c r="E92" s="5"/>
      <c r="F92" s="5"/>
      <c r="G92" s="5"/>
      <c r="H92" s="3"/>
      <c r="J92" s="3"/>
      <c r="K92" s="3"/>
      <c r="L92" s="3"/>
      <c r="M92" s="3"/>
      <c r="N92" s="3"/>
      <c r="O92" s="3"/>
    </row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</sheetData>
  <autoFilter ref="A5:H101">
    <extLst/>
  </autoFilter>
  <mergeCells count="24">
    <mergeCell ref="B2:F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2:K12"/>
    <mergeCell ref="B13:C13"/>
    <mergeCell ref="J14:K14"/>
    <mergeCell ref="B15:C15"/>
    <mergeCell ref="J16:K16"/>
    <mergeCell ref="B19:C19"/>
    <mergeCell ref="J20:K20"/>
    <mergeCell ref="B21:C21"/>
    <mergeCell ref="J23:K23"/>
    <mergeCell ref="B26:C26"/>
    <mergeCell ref="J26:K26"/>
    <mergeCell ref="J30:K30"/>
  </mergeCells>
  <pageMargins left="0.354166666666667" right="0.393055555555556" top="0.354166666666667" bottom="0.0388888888888889" header="0.511811023622047" footer="0.511811023622047"/>
  <pageSetup paperSize="9" scale="60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5"/>
  <sheetViews>
    <sheetView workbookViewId="0">
      <pane ySplit="5" topLeftCell="A6" activePane="bottomLeft" state="frozen"/>
      <selection/>
      <selection pane="bottomLeft" activeCell="F39" sqref="F39"/>
    </sheetView>
  </sheetViews>
  <sheetFormatPr defaultColWidth="8.88888888888889" defaultRowHeight="15.6"/>
  <cols>
    <col min="1" max="1" width="4" style="3" customWidth="1"/>
    <col min="2" max="2" width="3.88888888888889" style="4" customWidth="1"/>
    <col min="3" max="3" width="64.2222222222222" style="3" customWidth="1"/>
    <col min="4" max="6" width="20" style="5" customWidth="1"/>
    <col min="7" max="7" width="16.4444444444444" style="5" customWidth="1"/>
    <col min="8" max="8" width="57.1574074074074" style="3" customWidth="1"/>
    <col min="9" max="9" width="8.88888888888889" style="3"/>
    <col min="10" max="10" width="3.88888888888889" style="3" customWidth="1"/>
    <col min="11" max="11" width="85" style="3" customWidth="1"/>
    <col min="12" max="15" width="17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375</v>
      </c>
      <c r="C4" s="36"/>
      <c r="D4" s="36"/>
      <c r="E4" s="36"/>
      <c r="F4" s="36"/>
      <c r="G4" s="36"/>
      <c r="H4" s="36"/>
      <c r="J4" s="36" t="s">
        <v>376</v>
      </c>
      <c r="K4" s="36"/>
      <c r="L4" s="36"/>
      <c r="M4" s="36"/>
      <c r="N4" s="36"/>
      <c r="O4" s="36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92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377</v>
      </c>
      <c r="M6" s="30" t="s">
        <v>378</v>
      </c>
      <c r="N6" s="17" t="s">
        <v>277</v>
      </c>
      <c r="O6" s="30" t="s">
        <v>278</v>
      </c>
    </row>
    <row r="7" s="2" customFormat="1" ht="46.5" customHeight="1" spans="2:19">
      <c r="B7" s="19">
        <v>1</v>
      </c>
      <c r="C7" s="20" t="s">
        <v>295</v>
      </c>
      <c r="D7" s="19" t="s">
        <v>379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6.5" customHeight="1" spans="2:19">
      <c r="B8" s="19">
        <v>2</v>
      </c>
      <c r="C8" s="20" t="s">
        <v>247</v>
      </c>
      <c r="D8" s="19" t="s">
        <v>379</v>
      </c>
      <c r="E8" s="19">
        <v>10</v>
      </c>
      <c r="F8" s="21">
        <v>10</v>
      </c>
      <c r="G8" s="19">
        <v>10</v>
      </c>
      <c r="H8" s="101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6.5" customHeight="1" spans="2:19">
      <c r="B9" s="19">
        <v>3</v>
      </c>
      <c r="C9" s="41" t="s">
        <v>343</v>
      </c>
      <c r="D9" s="19" t="s">
        <v>379</v>
      </c>
      <c r="E9" s="19">
        <v>10</v>
      </c>
      <c r="F9" s="21">
        <v>0</v>
      </c>
      <c r="G9" s="19">
        <v>0</v>
      </c>
      <c r="H9" s="20" t="s">
        <v>380</v>
      </c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6.5" customHeight="1" spans="2:19">
      <c r="B10" s="19">
        <v>4</v>
      </c>
      <c r="C10" s="20" t="s">
        <v>315</v>
      </c>
      <c r="D10" s="19" t="s">
        <v>379</v>
      </c>
      <c r="E10" s="19">
        <v>10</v>
      </c>
      <c r="F10" s="21">
        <v>10</v>
      </c>
      <c r="G10" s="19">
        <v>10</v>
      </c>
      <c r="H10" s="23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6.5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2"/>
    </row>
    <row r="12" s="2" customFormat="1" ht="46.5" customHeight="1" spans="2:15">
      <c r="B12" s="19">
        <v>5</v>
      </c>
      <c r="C12" s="20" t="s">
        <v>317</v>
      </c>
      <c r="D12" s="19" t="s">
        <v>379</v>
      </c>
      <c r="E12" s="19">
        <v>10</v>
      </c>
      <c r="F12" s="21">
        <v>10</v>
      </c>
      <c r="G12" s="19">
        <v>10</v>
      </c>
      <c r="H12" s="20" t="s">
        <v>380</v>
      </c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6.5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3"/>
    </row>
    <row r="14" s="2" customFormat="1" ht="46.5" customHeight="1" spans="2:15">
      <c r="B14" s="19">
        <v>6</v>
      </c>
      <c r="C14" s="20" t="s">
        <v>253</v>
      </c>
      <c r="D14" s="19" t="s">
        <v>379</v>
      </c>
      <c r="E14" s="19">
        <v>10</v>
      </c>
      <c r="F14" s="21">
        <v>10</v>
      </c>
      <c r="G14" s="19">
        <v>10</v>
      </c>
      <c r="H14" s="20"/>
      <c r="J14" s="19">
        <v>6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6.5" customHeight="1" spans="2:15">
      <c r="B15" s="30" t="s">
        <v>346</v>
      </c>
      <c r="C15" s="30"/>
      <c r="D15" s="42"/>
      <c r="E15" s="42"/>
      <c r="F15" s="42"/>
      <c r="G15" s="42"/>
      <c r="H15" s="43"/>
      <c r="J15" s="30" t="s">
        <v>346</v>
      </c>
      <c r="K15" s="30"/>
      <c r="L15" s="42"/>
      <c r="M15" s="42"/>
      <c r="N15" s="42"/>
      <c r="O15" s="43"/>
    </row>
    <row r="16" s="2" customFormat="1" ht="46.5" customHeight="1" spans="2:15">
      <c r="B16" s="44">
        <v>7</v>
      </c>
      <c r="C16" s="20" t="s">
        <v>381</v>
      </c>
      <c r="D16" s="19" t="s">
        <v>379</v>
      </c>
      <c r="E16" s="19">
        <v>15</v>
      </c>
      <c r="F16" s="21">
        <v>15</v>
      </c>
      <c r="G16" s="19">
        <v>15</v>
      </c>
      <c r="H16" s="23"/>
      <c r="J16" s="44">
        <v>7</v>
      </c>
      <c r="K16" s="20" t="s">
        <v>381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6.5" customHeight="1" spans="2:15">
      <c r="B17" s="19">
        <v>8</v>
      </c>
      <c r="C17" s="20" t="s">
        <v>382</v>
      </c>
      <c r="D17" s="19" t="s">
        <v>379</v>
      </c>
      <c r="E17" s="19">
        <v>10</v>
      </c>
      <c r="F17" s="21">
        <v>0</v>
      </c>
      <c r="G17" s="19">
        <v>0</v>
      </c>
      <c r="H17" s="23" t="s">
        <v>383</v>
      </c>
      <c r="J17" s="19">
        <v>8</v>
      </c>
      <c r="K17" s="20" t="s">
        <v>382</v>
      </c>
      <c r="L17" s="19" t="s">
        <v>205</v>
      </c>
      <c r="M17" s="19" t="s">
        <v>209</v>
      </c>
      <c r="N17" s="19" t="s">
        <v>210</v>
      </c>
      <c r="O17" s="19" t="s">
        <v>211</v>
      </c>
    </row>
    <row r="18" s="2" customFormat="1" ht="46.5" customHeight="1" spans="2:15">
      <c r="B18" s="30" t="s">
        <v>320</v>
      </c>
      <c r="C18" s="30"/>
      <c r="D18" s="42"/>
      <c r="E18" s="42"/>
      <c r="F18" s="42"/>
      <c r="G18" s="42"/>
      <c r="H18" s="43"/>
      <c r="J18" s="30" t="s">
        <v>320</v>
      </c>
      <c r="K18" s="30"/>
      <c r="L18" s="42"/>
      <c r="M18" s="42"/>
      <c r="N18" s="42"/>
      <c r="O18" s="43"/>
    </row>
    <row r="19" s="2" customFormat="1" ht="46.5" customHeight="1" spans="2:15">
      <c r="B19" s="19">
        <v>9</v>
      </c>
      <c r="C19" s="20" t="s">
        <v>260</v>
      </c>
      <c r="D19" s="19" t="s">
        <v>379</v>
      </c>
      <c r="E19" s="19">
        <v>15</v>
      </c>
      <c r="F19" s="21">
        <v>15</v>
      </c>
      <c r="G19" s="19">
        <v>15</v>
      </c>
      <c r="H19" s="23"/>
      <c r="J19" s="19">
        <v>9</v>
      </c>
      <c r="K19" s="20" t="s">
        <v>260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6.5" customHeight="1" spans="2:15">
      <c r="B20" s="30" t="s">
        <v>120</v>
      </c>
      <c r="C20" s="30"/>
      <c r="D20" s="42"/>
      <c r="E20" s="42"/>
      <c r="F20" s="42"/>
      <c r="G20" s="42"/>
      <c r="H20" s="43"/>
      <c r="J20" s="30" t="s">
        <v>120</v>
      </c>
      <c r="K20" s="30"/>
      <c r="L20" s="42"/>
      <c r="M20" s="42"/>
      <c r="N20" s="42"/>
      <c r="O20" s="43"/>
    </row>
    <row r="21" s="2" customFormat="1" ht="46.5" customHeight="1" spans="2:15">
      <c r="B21" s="19">
        <v>10</v>
      </c>
      <c r="C21" s="20" t="s">
        <v>262</v>
      </c>
      <c r="D21" s="19" t="s">
        <v>379</v>
      </c>
      <c r="E21" s="19">
        <v>20</v>
      </c>
      <c r="F21" s="21">
        <v>20</v>
      </c>
      <c r="G21" s="19">
        <v>20</v>
      </c>
      <c r="H21" s="20"/>
      <c r="J21" s="19">
        <v>10</v>
      </c>
      <c r="K21" s="20" t="s">
        <v>262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6.5" customHeight="1" spans="2:15">
      <c r="B22" s="19">
        <v>11</v>
      </c>
      <c r="C22" s="20" t="s">
        <v>351</v>
      </c>
      <c r="D22" s="19" t="s">
        <v>379</v>
      </c>
      <c r="E22" s="19">
        <v>15</v>
      </c>
      <c r="F22" s="21">
        <v>15</v>
      </c>
      <c r="G22" s="19">
        <v>15</v>
      </c>
      <c r="H22" s="72"/>
      <c r="J22" s="19">
        <v>11</v>
      </c>
      <c r="K22" s="20" t="s">
        <v>351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6.5" customHeight="1" spans="2:15">
      <c r="B23" s="19">
        <v>12</v>
      </c>
      <c r="C23" s="20" t="s">
        <v>384</v>
      </c>
      <c r="D23" s="19" t="s">
        <v>379</v>
      </c>
      <c r="E23" s="19">
        <v>15</v>
      </c>
      <c r="F23" s="21">
        <v>15</v>
      </c>
      <c r="G23" s="19">
        <v>15</v>
      </c>
      <c r="H23" s="23"/>
      <c r="J23" s="19">
        <v>12</v>
      </c>
      <c r="K23" s="20" t="s">
        <v>384</v>
      </c>
      <c r="L23" s="19" t="s">
        <v>205</v>
      </c>
      <c r="M23" s="19" t="s">
        <v>209</v>
      </c>
      <c r="N23" s="19" t="s">
        <v>210</v>
      </c>
      <c r="O23" s="19" t="s">
        <v>211</v>
      </c>
    </row>
    <row r="24" s="2" customFormat="1" ht="46.5" customHeight="1" spans="2:15">
      <c r="B24" s="30" t="s">
        <v>327</v>
      </c>
      <c r="C24" s="30"/>
      <c r="D24" s="45"/>
      <c r="E24" s="42"/>
      <c r="F24" s="42"/>
      <c r="G24" s="42"/>
      <c r="H24" s="43"/>
      <c r="J24" s="30" t="s">
        <v>327</v>
      </c>
      <c r="K24" s="30"/>
      <c r="L24" s="42"/>
      <c r="M24" s="42"/>
      <c r="N24" s="42"/>
      <c r="O24" s="43"/>
    </row>
    <row r="25" s="2" customFormat="1" ht="46.5" customHeight="1" spans="2:15">
      <c r="B25" s="19">
        <v>13</v>
      </c>
      <c r="C25" s="23" t="s">
        <v>352</v>
      </c>
      <c r="D25" s="19" t="s">
        <v>379</v>
      </c>
      <c r="E25" s="19">
        <v>5</v>
      </c>
      <c r="F25" s="21">
        <v>5</v>
      </c>
      <c r="G25" s="19">
        <v>5</v>
      </c>
      <c r="H25" s="20"/>
      <c r="J25" s="19">
        <v>13</v>
      </c>
      <c r="K25" s="23" t="s">
        <v>352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46.5" customHeight="1" spans="2:15">
      <c r="B26" s="19">
        <v>14</v>
      </c>
      <c r="C26" s="23" t="s">
        <v>353</v>
      </c>
      <c r="D26" s="46" t="s">
        <v>379</v>
      </c>
      <c r="E26" s="19">
        <v>5</v>
      </c>
      <c r="F26" s="21">
        <v>5</v>
      </c>
      <c r="G26" s="19">
        <v>5</v>
      </c>
      <c r="H26" s="23"/>
      <c r="J26" s="19">
        <v>14</v>
      </c>
      <c r="K26" s="23" t="s">
        <v>353</v>
      </c>
      <c r="L26" s="19" t="s">
        <v>205</v>
      </c>
      <c r="M26" s="19" t="s">
        <v>209</v>
      </c>
      <c r="N26" s="19" t="s">
        <v>210</v>
      </c>
      <c r="O26" s="19" t="s">
        <v>211</v>
      </c>
    </row>
    <row r="27" s="2" customFormat="1" ht="46.5" customHeight="1" spans="2:15">
      <c r="B27" s="19">
        <v>15</v>
      </c>
      <c r="C27" s="23" t="s">
        <v>329</v>
      </c>
      <c r="D27" s="19" t="s">
        <v>379</v>
      </c>
      <c r="E27" s="19">
        <v>5</v>
      </c>
      <c r="F27" s="21">
        <v>5</v>
      </c>
      <c r="G27" s="19">
        <v>5</v>
      </c>
      <c r="H27" s="23" t="s">
        <v>385</v>
      </c>
      <c r="J27" s="19">
        <v>15</v>
      </c>
      <c r="K27" s="23" t="s">
        <v>329</v>
      </c>
      <c r="L27" s="19" t="s">
        <v>205</v>
      </c>
      <c r="M27" s="19" t="s">
        <v>209</v>
      </c>
      <c r="N27" s="19" t="s">
        <v>210</v>
      </c>
      <c r="O27" s="19" t="s">
        <v>211</v>
      </c>
    </row>
    <row r="28" s="2" customFormat="1" ht="46.5" customHeight="1" spans="2:15">
      <c r="B28" s="19">
        <v>16</v>
      </c>
      <c r="C28" s="102" t="s">
        <v>386</v>
      </c>
      <c r="D28" s="19" t="s">
        <v>379</v>
      </c>
      <c r="E28" s="19">
        <v>5</v>
      </c>
      <c r="F28" s="21">
        <v>5</v>
      </c>
      <c r="G28" s="19">
        <v>5</v>
      </c>
      <c r="H28" s="23"/>
      <c r="J28" s="19"/>
      <c r="K28" s="102"/>
      <c r="L28" s="19"/>
      <c r="M28" s="19"/>
      <c r="N28" s="19"/>
      <c r="O28" s="19"/>
    </row>
    <row r="29" s="2" customFormat="1" ht="46.5" customHeight="1" spans="2:15">
      <c r="B29" s="19">
        <v>17</v>
      </c>
      <c r="C29" s="102" t="s">
        <v>355</v>
      </c>
      <c r="D29" s="19" t="s">
        <v>379</v>
      </c>
      <c r="E29" s="19">
        <v>5</v>
      </c>
      <c r="F29" s="21">
        <v>5</v>
      </c>
      <c r="G29" s="19">
        <v>5</v>
      </c>
      <c r="H29" s="20"/>
      <c r="J29" s="19">
        <v>16</v>
      </c>
      <c r="K29" s="102" t="s">
        <v>355</v>
      </c>
      <c r="L29" s="19" t="s">
        <v>205</v>
      </c>
      <c r="M29" s="19" t="s">
        <v>209</v>
      </c>
      <c r="N29" s="19" t="s">
        <v>210</v>
      </c>
      <c r="O29" s="19" t="s">
        <v>211</v>
      </c>
    </row>
    <row r="30" s="2" customFormat="1" ht="46.5" customHeight="1" spans="2:15">
      <c r="B30" s="30" t="s">
        <v>305</v>
      </c>
      <c r="C30" s="30"/>
      <c r="D30" s="45"/>
      <c r="E30" s="42"/>
      <c r="F30" s="42"/>
      <c r="G30" s="42"/>
      <c r="H30" s="43"/>
      <c r="J30" s="30" t="s">
        <v>305</v>
      </c>
      <c r="K30" s="30"/>
      <c r="L30" s="45"/>
      <c r="M30" s="42"/>
      <c r="N30" s="42"/>
      <c r="O30" s="43"/>
    </row>
    <row r="31" s="2" customFormat="1" ht="46.5" customHeight="1" spans="2:15">
      <c r="B31" s="19">
        <v>18</v>
      </c>
      <c r="C31" s="20" t="s">
        <v>269</v>
      </c>
      <c r="D31" s="44" t="s">
        <v>379</v>
      </c>
      <c r="E31" s="19">
        <v>15</v>
      </c>
      <c r="F31" s="21">
        <v>15</v>
      </c>
      <c r="G31" s="19">
        <v>15</v>
      </c>
      <c r="H31" s="20"/>
      <c r="J31" s="19">
        <v>17</v>
      </c>
      <c r="K31" s="20" t="s">
        <v>269</v>
      </c>
      <c r="L31" s="19" t="s">
        <v>205</v>
      </c>
      <c r="M31" s="19" t="s">
        <v>209</v>
      </c>
      <c r="N31" s="19" t="s">
        <v>210</v>
      </c>
      <c r="O31" s="19" t="s">
        <v>211</v>
      </c>
    </row>
    <row r="32" s="2" customFormat="1" ht="46.5" customHeight="1" spans="2:15">
      <c r="B32" s="19">
        <v>19</v>
      </c>
      <c r="C32" s="48" t="s">
        <v>374</v>
      </c>
      <c r="D32" s="19" t="s">
        <v>379</v>
      </c>
      <c r="E32" s="19">
        <v>5</v>
      </c>
      <c r="F32" s="21">
        <v>5</v>
      </c>
      <c r="G32" s="19">
        <v>5</v>
      </c>
      <c r="H32" s="20"/>
      <c r="J32" s="19">
        <v>18</v>
      </c>
      <c r="K32" s="48" t="s">
        <v>374</v>
      </c>
      <c r="L32" s="19" t="s">
        <v>205</v>
      </c>
      <c r="M32" s="19" t="s">
        <v>209</v>
      </c>
      <c r="N32" s="19" t="s">
        <v>210</v>
      </c>
      <c r="O32" s="19" t="s">
        <v>211</v>
      </c>
    </row>
    <row r="33" s="2" customFormat="1" ht="46.5" customHeight="1" spans="2:15">
      <c r="B33" s="50">
        <v>20</v>
      </c>
      <c r="C33" s="48" t="s">
        <v>356</v>
      </c>
      <c r="D33" s="50" t="s">
        <v>379</v>
      </c>
      <c r="E33" s="50">
        <v>10</v>
      </c>
      <c r="F33" s="103">
        <v>10</v>
      </c>
      <c r="G33" s="50">
        <v>10</v>
      </c>
      <c r="H33" s="51"/>
      <c r="J33" s="50">
        <v>19</v>
      </c>
      <c r="K33" s="104" t="s">
        <v>356</v>
      </c>
      <c r="L33" s="19" t="s">
        <v>205</v>
      </c>
      <c r="M33" s="19" t="s">
        <v>209</v>
      </c>
      <c r="N33" s="19" t="s">
        <v>210</v>
      </c>
      <c r="O33" s="19" t="s">
        <v>211</v>
      </c>
    </row>
    <row r="34" s="2" customFormat="1" ht="46.5" customHeight="1" spans="2:15">
      <c r="B34" s="50">
        <v>21</v>
      </c>
      <c r="C34" s="104" t="s">
        <v>387</v>
      </c>
      <c r="D34" s="50" t="s">
        <v>379</v>
      </c>
      <c r="E34" s="50">
        <v>20</v>
      </c>
      <c r="F34" s="103">
        <v>0</v>
      </c>
      <c r="G34" s="50">
        <v>0</v>
      </c>
      <c r="H34" s="51" t="s">
        <v>388</v>
      </c>
      <c r="J34" s="50"/>
      <c r="K34" s="104"/>
      <c r="L34" s="19"/>
      <c r="M34" s="19"/>
      <c r="N34" s="19"/>
      <c r="O34" s="19"/>
    </row>
    <row r="35" s="2" customFormat="1" ht="57.75" customHeight="1" spans="2:15">
      <c r="B35" s="19">
        <v>22</v>
      </c>
      <c r="C35" s="23" t="s">
        <v>306</v>
      </c>
      <c r="D35" s="19" t="s">
        <v>379</v>
      </c>
      <c r="E35" s="19">
        <v>5</v>
      </c>
      <c r="F35" s="21">
        <v>5</v>
      </c>
      <c r="G35" s="19">
        <v>5</v>
      </c>
      <c r="H35" s="20"/>
      <c r="J35" s="50">
        <v>20</v>
      </c>
      <c r="K35" s="51" t="s">
        <v>306</v>
      </c>
      <c r="L35" s="19" t="s">
        <v>205</v>
      </c>
      <c r="M35" s="19" t="s">
        <v>209</v>
      </c>
      <c r="N35" s="19" t="s">
        <v>210</v>
      </c>
      <c r="O35" s="19" t="s">
        <v>211</v>
      </c>
    </row>
    <row r="36" s="2" customFormat="1" ht="57.75" customHeight="1" spans="2:15">
      <c r="B36" s="105">
        <v>23</v>
      </c>
      <c r="C36" s="86" t="s">
        <v>389</v>
      </c>
      <c r="D36" s="19" t="s">
        <v>379</v>
      </c>
      <c r="E36" s="19">
        <v>20</v>
      </c>
      <c r="F36" s="21">
        <v>0</v>
      </c>
      <c r="G36" s="19">
        <v>20</v>
      </c>
      <c r="H36" s="106"/>
      <c r="J36" s="52"/>
      <c r="K36" s="53"/>
      <c r="L36" s="52"/>
      <c r="M36" s="52"/>
      <c r="N36" s="52"/>
      <c r="O36" s="52"/>
    </row>
    <row r="37" s="2" customFormat="1" ht="57.75" customHeight="1" spans="2:15">
      <c r="B37" s="105">
        <v>24</v>
      </c>
      <c r="C37" s="86" t="s">
        <v>373</v>
      </c>
      <c r="D37" s="19" t="s">
        <v>379</v>
      </c>
      <c r="E37" s="19">
        <v>5</v>
      </c>
      <c r="F37" s="21">
        <v>5</v>
      </c>
      <c r="G37" s="19">
        <v>5</v>
      </c>
      <c r="H37" s="106"/>
      <c r="J37" s="52"/>
      <c r="K37" s="53"/>
      <c r="L37" s="52"/>
      <c r="M37" s="52"/>
      <c r="N37" s="52"/>
      <c r="O37" s="52"/>
    </row>
    <row r="38" s="2" customFormat="1" ht="46.5" customHeight="1" spans="2:15">
      <c r="B38" s="105"/>
      <c r="C38" s="107" t="s">
        <v>270</v>
      </c>
      <c r="D38" s="105"/>
      <c r="E38" s="105">
        <f>SUM(E7:E37)</f>
        <v>265</v>
      </c>
      <c r="F38" s="105">
        <f>SUM(F7:F37)</f>
        <v>205</v>
      </c>
      <c r="G38" s="105">
        <f>SUM(G7:G37)</f>
        <v>225</v>
      </c>
      <c r="H38" s="86"/>
      <c r="J38" s="52"/>
      <c r="K38" s="53"/>
      <c r="L38" s="52"/>
      <c r="M38" s="52"/>
      <c r="N38" s="52"/>
      <c r="O38" s="52"/>
    </row>
    <row r="39" s="2" customFormat="1" ht="46.5" customHeight="1" spans="2:15">
      <c r="B39" s="19"/>
      <c r="C39" s="49" t="s">
        <v>271</v>
      </c>
      <c r="D39" s="19"/>
      <c r="E39" s="19">
        <f>(E38/E38)*100</f>
        <v>100</v>
      </c>
      <c r="F39" s="26">
        <f>+F38/E38*100</f>
        <v>77.3584905660377</v>
      </c>
      <c r="G39" s="27">
        <f>+G38/E38*100</f>
        <v>84.9056603773585</v>
      </c>
      <c r="H39" s="23"/>
      <c r="J39" s="4"/>
      <c r="K39" s="56"/>
      <c r="L39" s="4"/>
      <c r="M39" s="4"/>
      <c r="N39" s="4"/>
      <c r="O39" s="4"/>
    </row>
    <row r="40" s="2" customFormat="1" ht="46.5" customHeight="1" spans="2:15">
      <c r="B40" s="4"/>
      <c r="C40" s="3"/>
      <c r="D40" s="5"/>
      <c r="E40" s="5"/>
      <c r="F40" s="5"/>
      <c r="G40" s="5"/>
      <c r="J40" s="4"/>
      <c r="K40" s="108"/>
      <c r="L40" s="4"/>
      <c r="M40" s="4"/>
      <c r="N40" s="4"/>
      <c r="O40" s="4"/>
    </row>
    <row r="41" s="2" customFormat="1" ht="46.5" customHeight="1" spans="2:15">
      <c r="B41" s="4"/>
      <c r="C41" s="3"/>
      <c r="D41" s="5"/>
      <c r="E41" s="5"/>
      <c r="F41" s="5"/>
      <c r="G41" s="5"/>
      <c r="J41" s="4"/>
      <c r="L41" s="4"/>
      <c r="M41" s="4"/>
      <c r="N41" s="4"/>
      <c r="O41" s="4"/>
    </row>
    <row r="42" s="2" customFormat="1" ht="46.5" customHeight="1" spans="2:14">
      <c r="B42" s="4"/>
      <c r="D42" s="5"/>
      <c r="E42" s="5"/>
      <c r="F42" s="5"/>
      <c r="G42" s="5"/>
      <c r="J42" s="4"/>
      <c r="K42" s="57"/>
      <c r="L42" s="4"/>
      <c r="M42" s="4"/>
      <c r="N42" s="4"/>
    </row>
    <row r="43" s="2" customFormat="1" ht="46.5" customHeight="1" spans="2:14">
      <c r="B43" s="4"/>
      <c r="D43" s="5"/>
      <c r="E43" s="5"/>
      <c r="F43" s="5"/>
      <c r="G43" s="5"/>
      <c r="J43" s="4"/>
      <c r="K43" s="57"/>
      <c r="L43" s="4"/>
      <c r="M43" s="4"/>
      <c r="N43" s="58"/>
    </row>
    <row r="44" s="2" customFormat="1" ht="42" customHeight="1" spans="2:7">
      <c r="B44" s="4"/>
      <c r="C44" s="24"/>
      <c r="D44" s="5"/>
      <c r="E44" s="5"/>
      <c r="F44" s="5"/>
      <c r="G44" s="5"/>
    </row>
    <row r="45" s="2" customFormat="1" ht="42" customHeight="1" spans="2:7">
      <c r="B45" s="4"/>
      <c r="D45" s="5"/>
      <c r="E45" s="5"/>
      <c r="F45" s="5"/>
      <c r="G45" s="5"/>
    </row>
    <row r="46" s="2" customFormat="1" ht="39.75" customHeight="1" spans="2:7">
      <c r="B46" s="4"/>
      <c r="D46" s="5"/>
      <c r="E46" s="5"/>
      <c r="F46" s="5"/>
      <c r="G46" s="5"/>
    </row>
    <row r="47" s="2" customFormat="1" ht="63" customHeight="1" spans="2:7">
      <c r="B47" s="4"/>
      <c r="C47" s="24"/>
      <c r="D47" s="5"/>
      <c r="E47" s="5"/>
      <c r="F47" s="5"/>
      <c r="G47" s="5"/>
    </row>
    <row r="48" s="2" customFormat="1" ht="51" customHeight="1" spans="2:7">
      <c r="B48" s="4"/>
      <c r="D48" s="5"/>
      <c r="E48" s="5"/>
      <c r="F48" s="5"/>
      <c r="G48" s="5"/>
    </row>
    <row r="49" s="2" customFormat="1" ht="40.5" customHeight="1" spans="2:7">
      <c r="B49" s="4"/>
      <c r="D49" s="5"/>
      <c r="E49" s="5"/>
      <c r="F49" s="5"/>
      <c r="G49" s="5"/>
    </row>
    <row r="50" s="2" customFormat="1" ht="34.5" customHeight="1" spans="2:7">
      <c r="B50" s="4"/>
      <c r="C50" s="3"/>
      <c r="D50" s="5"/>
      <c r="E50" s="5"/>
      <c r="F50" s="5"/>
      <c r="G50" s="5"/>
    </row>
    <row r="51" s="2" customFormat="1" ht="34.5" customHeight="1" spans="2:7">
      <c r="B51" s="4"/>
      <c r="C51" s="3"/>
      <c r="D51" s="5"/>
      <c r="E51" s="5"/>
      <c r="F51" s="5"/>
      <c r="G51" s="5"/>
    </row>
    <row r="52" s="2" customFormat="1" ht="34.5" customHeight="1" spans="2:7">
      <c r="B52" s="4"/>
      <c r="C52" s="3"/>
      <c r="D52" s="5"/>
      <c r="E52" s="5"/>
      <c r="F52" s="5"/>
      <c r="G52" s="5"/>
    </row>
    <row r="53" s="2" customFormat="1" ht="31.5" customHeight="1" spans="2:7">
      <c r="B53" s="4"/>
      <c r="C53" s="3"/>
      <c r="D53" s="5"/>
      <c r="E53" s="5"/>
      <c r="F53" s="5"/>
      <c r="G53" s="5"/>
    </row>
    <row r="54" s="2" customFormat="1" ht="34.5" customHeight="1" spans="2:7">
      <c r="B54" s="4"/>
      <c r="C54" s="3"/>
      <c r="D54" s="5"/>
      <c r="E54" s="5"/>
      <c r="F54" s="5"/>
      <c r="G54" s="5"/>
    </row>
    <row r="55" s="2" customFormat="1" ht="42" customHeight="1" spans="2:7">
      <c r="B55" s="4"/>
      <c r="C55" s="3"/>
      <c r="D55" s="5"/>
      <c r="E55" s="5"/>
      <c r="F55" s="5"/>
      <c r="G55" s="5"/>
    </row>
    <row r="56" s="2" customFormat="1" ht="42" customHeight="1" spans="2:7">
      <c r="B56" s="4"/>
      <c r="C56" s="3"/>
      <c r="D56" s="5"/>
      <c r="E56" s="5"/>
      <c r="F56" s="5"/>
      <c r="G56" s="5"/>
    </row>
    <row r="57" s="2" customFormat="1" ht="42" customHeight="1" spans="2:7">
      <c r="B57" s="4"/>
      <c r="C57" s="3"/>
      <c r="D57" s="5"/>
      <c r="E57" s="5"/>
      <c r="F57" s="5"/>
      <c r="G57" s="5"/>
    </row>
    <row r="58" s="2" customFormat="1" ht="61.5" customHeight="1" spans="2:7">
      <c r="B58" s="4"/>
      <c r="C58" s="3"/>
      <c r="D58" s="5"/>
      <c r="E58" s="5"/>
      <c r="F58" s="5"/>
      <c r="G58" s="5"/>
    </row>
    <row r="59" s="2" customFormat="1" ht="42" customHeight="1" spans="2:7">
      <c r="B59" s="4"/>
      <c r="C59" s="3"/>
      <c r="D59" s="5"/>
      <c r="E59" s="5"/>
      <c r="F59" s="5"/>
      <c r="G59" s="5"/>
    </row>
    <row r="60" s="2" customFormat="1" ht="45" customHeight="1" spans="2:7">
      <c r="B60" s="4"/>
      <c r="C60" s="3"/>
      <c r="D60" s="5"/>
      <c r="E60" s="5"/>
      <c r="F60" s="5"/>
      <c r="G60" s="5"/>
    </row>
    <row r="61" s="2" customFormat="1" ht="37.5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9.75" customHeight="1" spans="2:7">
      <c r="B63" s="4"/>
      <c r="C63" s="3"/>
      <c r="D63" s="5"/>
      <c r="E63" s="5"/>
      <c r="F63" s="5"/>
      <c r="G63" s="5"/>
    </row>
    <row r="64" s="2" customFormat="1" ht="30" customHeight="1" spans="2:7">
      <c r="B64" s="4"/>
      <c r="C64" s="3"/>
      <c r="D64" s="5"/>
      <c r="E64" s="5"/>
      <c r="F64" s="5"/>
      <c r="G64" s="5"/>
    </row>
    <row r="65" s="2" customFormat="1" ht="30" customHeight="1" spans="2:7">
      <c r="B65" s="4"/>
      <c r="C65" s="3"/>
      <c r="D65" s="5"/>
      <c r="E65" s="5"/>
      <c r="F65" s="5"/>
      <c r="G65" s="5"/>
    </row>
    <row r="66" s="2" customFormat="1" ht="30" customHeight="1" spans="2:7">
      <c r="B66" s="4"/>
      <c r="C66" s="3"/>
      <c r="D66" s="5"/>
      <c r="E66" s="5"/>
      <c r="F66" s="5"/>
      <c r="G66" s="5"/>
    </row>
    <row r="67" s="2" customFormat="1" ht="30" customHeight="1" spans="2:7">
      <c r="B67" s="4"/>
      <c r="C67" s="3"/>
      <c r="D67" s="5"/>
      <c r="E67" s="5"/>
      <c r="F67" s="5"/>
      <c r="G67" s="5"/>
    </row>
    <row r="68" s="2" customFormat="1" ht="30" customHeight="1" spans="2:7">
      <c r="B68" s="4"/>
      <c r="C68" s="3"/>
      <c r="D68" s="5"/>
      <c r="E68" s="5"/>
      <c r="F68" s="5"/>
      <c r="G68" s="5"/>
    </row>
    <row r="69" s="2" customFormat="1" ht="30" customHeight="1" spans="2:7">
      <c r="B69" s="4"/>
      <c r="C69" s="3"/>
      <c r="D69" s="5"/>
      <c r="E69" s="5"/>
      <c r="F69" s="5"/>
      <c r="G69" s="5"/>
    </row>
    <row r="70" s="2" customFormat="1" ht="30" customHeight="1" spans="2:7">
      <c r="B70" s="4"/>
      <c r="C70" s="3"/>
      <c r="D70" s="5"/>
      <c r="E70" s="5"/>
      <c r="F70" s="5"/>
      <c r="G70" s="5"/>
    </row>
    <row r="71" s="2" customFormat="1" ht="39.75" customHeight="1" spans="2:7">
      <c r="B71" s="4"/>
      <c r="C71" s="3"/>
      <c r="D71" s="5"/>
      <c r="E71" s="5"/>
      <c r="F71" s="5"/>
      <c r="G71" s="5"/>
    </row>
    <row r="72" s="2" customFormat="1" ht="39.75" customHeight="1" spans="2:7">
      <c r="B72" s="4"/>
      <c r="C72" s="3"/>
      <c r="D72" s="5"/>
      <c r="E72" s="5"/>
      <c r="F72" s="5"/>
      <c r="G72" s="5"/>
    </row>
    <row r="73" s="2" customFormat="1" ht="39.75" customHeight="1" spans="2:7">
      <c r="B73" s="4"/>
      <c r="C73" s="3"/>
      <c r="D73" s="5"/>
      <c r="E73" s="5"/>
      <c r="F73" s="5"/>
      <c r="G73" s="5"/>
    </row>
    <row r="74" s="2" customFormat="1" ht="39.75" customHeight="1" spans="2:7">
      <c r="B74" s="4"/>
      <c r="C74" s="3"/>
      <c r="D74" s="5"/>
      <c r="E74" s="5"/>
      <c r="F74" s="5"/>
      <c r="G74" s="5"/>
    </row>
    <row r="75" s="2" customFormat="1" ht="33.75" customHeight="1" spans="2:8">
      <c r="B75" s="4"/>
      <c r="C75" s="3"/>
      <c r="D75" s="5"/>
      <c r="E75" s="5"/>
      <c r="F75" s="5"/>
      <c r="G75" s="5"/>
      <c r="H75" s="3"/>
    </row>
    <row r="76" s="2" customFormat="1" ht="30" customHeight="1" spans="2:8">
      <c r="B76" s="4"/>
      <c r="C76" s="3"/>
      <c r="D76" s="5"/>
      <c r="E76" s="5"/>
      <c r="F76" s="5"/>
      <c r="G76" s="5"/>
      <c r="H76" s="3"/>
    </row>
    <row r="77" s="2" customFormat="1" ht="30" customHeight="1" spans="2:8">
      <c r="B77" s="4"/>
      <c r="C77" s="3"/>
      <c r="D77" s="5"/>
      <c r="E77" s="5"/>
      <c r="F77" s="5"/>
      <c r="G77" s="5"/>
      <c r="H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0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0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2:9">
      <c r="B93" s="4"/>
      <c r="C93" s="3"/>
      <c r="D93" s="5"/>
      <c r="E93" s="5"/>
      <c r="F93" s="5"/>
      <c r="G93" s="5"/>
      <c r="H93" s="3"/>
      <c r="I93" s="3"/>
    </row>
    <row r="94" s="2" customFormat="1" ht="30" customHeight="1" spans="2:9">
      <c r="B94" s="4"/>
      <c r="C94" s="3"/>
      <c r="D94" s="5"/>
      <c r="E94" s="5"/>
      <c r="F94" s="5"/>
      <c r="G94" s="5"/>
      <c r="H94" s="3"/>
      <c r="I94" s="3"/>
    </row>
    <row r="95" s="2" customFormat="1" ht="31.5" customHeight="1" spans="2:9">
      <c r="B95" s="4"/>
      <c r="C95" s="3"/>
      <c r="D95" s="5"/>
      <c r="E95" s="5"/>
      <c r="F95" s="5"/>
      <c r="G95" s="5"/>
      <c r="H95" s="3"/>
      <c r="I95" s="3"/>
    </row>
    <row r="96" s="2" customFormat="1" ht="30" customHeight="1" spans="2:9">
      <c r="B96" s="4"/>
      <c r="C96" s="3"/>
      <c r="D96" s="5"/>
      <c r="E96" s="5"/>
      <c r="F96" s="5"/>
      <c r="G96" s="5"/>
      <c r="H96" s="3"/>
      <c r="I96" s="3"/>
    </row>
    <row r="97" s="2" customFormat="1" ht="30" customHeight="1" spans="1:9">
      <c r="A97" s="3"/>
      <c r="B97" s="4"/>
      <c r="C97" s="3"/>
      <c r="D97" s="5"/>
      <c r="E97" s="5"/>
      <c r="F97" s="5"/>
      <c r="G97" s="5"/>
      <c r="H97" s="3"/>
      <c r="I97" s="3"/>
    </row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</sheetData>
  <autoFilter ref="A5:I106">
    <extLst/>
  </autoFilter>
  <mergeCells count="25">
    <mergeCell ref="B2:F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8:C18"/>
    <mergeCell ref="J18:K18"/>
    <mergeCell ref="B20:C20"/>
    <mergeCell ref="J20:K20"/>
    <mergeCell ref="B24:C24"/>
    <mergeCell ref="J24:K24"/>
    <mergeCell ref="B30:C30"/>
    <mergeCell ref="J30:K30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5"/>
  <sheetViews>
    <sheetView zoomScale="80" zoomScaleNormal="80" workbookViewId="0">
      <pane ySplit="5" topLeftCell="A20" activePane="bottomLeft" state="frozen"/>
      <selection/>
      <selection pane="bottomLeft" activeCell="F27" sqref="F27"/>
    </sheetView>
  </sheetViews>
  <sheetFormatPr defaultColWidth="8.88888888888889" defaultRowHeight="15.6"/>
  <cols>
    <col min="1" max="1" width="4" style="3" customWidth="1"/>
    <col min="2" max="2" width="3.88888888888889" style="4" customWidth="1"/>
    <col min="3" max="3" width="64.2222222222222" style="3" customWidth="1"/>
    <col min="4" max="6" width="20" style="5" customWidth="1"/>
    <col min="7" max="7" width="15.8888888888889" style="5" customWidth="1"/>
    <col min="8" max="8" width="42.6666666666667" style="3" customWidth="1"/>
    <col min="9" max="9" width="8.88888888888889" style="3"/>
    <col min="10" max="10" width="3.88888888888889" style="3" customWidth="1"/>
    <col min="11" max="11" width="85" style="3" customWidth="1"/>
    <col min="12" max="15" width="17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390</v>
      </c>
      <c r="C4" s="36"/>
      <c r="D4" s="36"/>
      <c r="E4" s="36"/>
      <c r="F4" s="36"/>
      <c r="G4" s="36"/>
      <c r="H4" s="36"/>
      <c r="J4" s="36" t="s">
        <v>376</v>
      </c>
      <c r="K4" s="36"/>
      <c r="L4" s="36"/>
      <c r="M4" s="36"/>
      <c r="N4" s="36"/>
      <c r="O4" s="36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92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377</v>
      </c>
      <c r="M6" s="30" t="s">
        <v>378</v>
      </c>
      <c r="N6" s="17" t="s">
        <v>277</v>
      </c>
      <c r="O6" s="30" t="s">
        <v>278</v>
      </c>
    </row>
    <row r="7" s="2" customFormat="1" ht="46.5" customHeight="1" spans="2:19">
      <c r="B7" s="19">
        <v>1</v>
      </c>
      <c r="C7" s="20" t="s">
        <v>295</v>
      </c>
      <c r="D7" s="19" t="s">
        <v>379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6.5" customHeight="1" spans="2:19">
      <c r="B8" s="19">
        <v>2</v>
      </c>
      <c r="C8" s="20" t="s">
        <v>247</v>
      </c>
      <c r="D8" s="19" t="s">
        <v>379</v>
      </c>
      <c r="E8" s="19">
        <v>10</v>
      </c>
      <c r="F8" s="21">
        <v>10</v>
      </c>
      <c r="G8" s="19">
        <v>10</v>
      </c>
      <c r="H8" s="20" t="s">
        <v>391</v>
      </c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6.5" customHeight="1" spans="2:19">
      <c r="B9" s="19">
        <v>3</v>
      </c>
      <c r="C9" s="41" t="s">
        <v>343</v>
      </c>
      <c r="D9" s="19" t="s">
        <v>379</v>
      </c>
      <c r="E9" s="19">
        <v>10</v>
      </c>
      <c r="F9" s="21">
        <v>10</v>
      </c>
      <c r="G9" s="19">
        <v>10</v>
      </c>
      <c r="H9" s="20"/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6.5" customHeight="1" spans="2:19">
      <c r="B10" s="19">
        <v>4</v>
      </c>
      <c r="C10" s="20" t="s">
        <v>315</v>
      </c>
      <c r="D10" s="19" t="s">
        <v>379</v>
      </c>
      <c r="E10" s="19">
        <v>10</v>
      </c>
      <c r="F10" s="21">
        <v>10</v>
      </c>
      <c r="G10" s="19">
        <v>10</v>
      </c>
      <c r="H10" s="20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6.5" customHeight="1" spans="2:15">
      <c r="B11" s="14" t="s">
        <v>344</v>
      </c>
      <c r="C11" s="14"/>
      <c r="D11" s="42"/>
      <c r="E11" s="42"/>
      <c r="F11" s="42"/>
      <c r="G11" s="42"/>
      <c r="H11" s="94"/>
      <c r="J11" s="14" t="s">
        <v>344</v>
      </c>
      <c r="K11" s="14"/>
      <c r="L11" s="42"/>
      <c r="M11" s="42"/>
      <c r="N11" s="42"/>
      <c r="O11" s="42"/>
    </row>
    <row r="12" s="2" customFormat="1" ht="46.5" customHeight="1" spans="2:15">
      <c r="B12" s="95">
        <v>5</v>
      </c>
      <c r="C12" s="20" t="s">
        <v>317</v>
      </c>
      <c r="D12" s="19" t="s">
        <v>379</v>
      </c>
      <c r="E12" s="19">
        <v>10</v>
      </c>
      <c r="F12" s="21">
        <v>10</v>
      </c>
      <c r="G12" s="19">
        <v>10</v>
      </c>
      <c r="H12" s="20"/>
      <c r="J12" s="95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6.5" customHeight="1" spans="2:15">
      <c r="B13" s="95">
        <v>6</v>
      </c>
      <c r="C13" s="20" t="s">
        <v>253</v>
      </c>
      <c r="D13" s="19" t="s">
        <v>379</v>
      </c>
      <c r="E13" s="19">
        <v>10</v>
      </c>
      <c r="F13" s="21">
        <v>10</v>
      </c>
      <c r="G13" s="19">
        <v>10</v>
      </c>
      <c r="H13" s="23"/>
      <c r="J13" s="95">
        <v>6</v>
      </c>
      <c r="K13" s="20" t="s">
        <v>253</v>
      </c>
      <c r="L13" s="19" t="s">
        <v>205</v>
      </c>
      <c r="M13" s="19" t="s">
        <v>209</v>
      </c>
      <c r="N13" s="19" t="s">
        <v>210</v>
      </c>
      <c r="O13" s="19" t="s">
        <v>211</v>
      </c>
    </row>
    <row r="14" s="2" customFormat="1" ht="46.5" customHeight="1" spans="2:15">
      <c r="B14" s="19">
        <v>7</v>
      </c>
      <c r="C14" s="20" t="s">
        <v>392</v>
      </c>
      <c r="D14" s="19" t="s">
        <v>379</v>
      </c>
      <c r="E14" s="19">
        <v>10</v>
      </c>
      <c r="F14" s="21">
        <v>10</v>
      </c>
      <c r="G14" s="19">
        <v>10</v>
      </c>
      <c r="H14" s="20"/>
      <c r="J14" s="19">
        <v>7</v>
      </c>
      <c r="K14" s="20" t="s">
        <v>392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6.5" customHeight="1" spans="2:15">
      <c r="B15" s="30" t="s">
        <v>320</v>
      </c>
      <c r="C15" s="30"/>
      <c r="D15" s="96"/>
      <c r="E15" s="96"/>
      <c r="F15" s="96"/>
      <c r="G15" s="96"/>
      <c r="H15" s="97"/>
      <c r="J15" s="30" t="s">
        <v>320</v>
      </c>
      <c r="K15" s="30"/>
      <c r="L15" s="42"/>
      <c r="M15" s="42"/>
      <c r="N15" s="42"/>
      <c r="O15" s="42"/>
    </row>
    <row r="16" s="2" customFormat="1" ht="46.5" customHeight="1" spans="2:15">
      <c r="B16" s="19">
        <v>8</v>
      </c>
      <c r="C16" s="20" t="s">
        <v>260</v>
      </c>
      <c r="D16" s="19" t="s">
        <v>379</v>
      </c>
      <c r="E16" s="19">
        <v>15</v>
      </c>
      <c r="F16" s="21">
        <v>15</v>
      </c>
      <c r="G16" s="19">
        <v>15</v>
      </c>
      <c r="H16" s="23"/>
      <c r="J16" s="19">
        <v>8</v>
      </c>
      <c r="K16" s="20" t="s">
        <v>260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6.5" customHeight="1" spans="2:15">
      <c r="B17" s="30" t="s">
        <v>327</v>
      </c>
      <c r="C17" s="30"/>
      <c r="D17" s="45"/>
      <c r="E17" s="42"/>
      <c r="F17" s="42"/>
      <c r="G17" s="42"/>
      <c r="H17" s="43"/>
      <c r="J17" s="30" t="s">
        <v>327</v>
      </c>
      <c r="K17" s="30"/>
      <c r="L17" s="42"/>
      <c r="M17" s="42"/>
      <c r="N17" s="42"/>
      <c r="O17" s="43"/>
    </row>
    <row r="18" s="2" customFormat="1" ht="46.5" customHeight="1" spans="2:15">
      <c r="B18" s="19">
        <v>9</v>
      </c>
      <c r="C18" s="23" t="s">
        <v>352</v>
      </c>
      <c r="D18" s="19" t="s">
        <v>379</v>
      </c>
      <c r="E18" s="19">
        <v>5</v>
      </c>
      <c r="F18" s="21">
        <v>5</v>
      </c>
      <c r="G18" s="19">
        <v>5</v>
      </c>
      <c r="H18" s="20"/>
      <c r="J18" s="19">
        <v>9</v>
      </c>
      <c r="K18" s="23" t="s">
        <v>352</v>
      </c>
      <c r="L18" s="19" t="s">
        <v>205</v>
      </c>
      <c r="M18" s="19" t="s">
        <v>209</v>
      </c>
      <c r="N18" s="19" t="s">
        <v>210</v>
      </c>
      <c r="O18" s="19" t="s">
        <v>211</v>
      </c>
    </row>
    <row r="19" s="2" customFormat="1" ht="46.5" customHeight="1" spans="2:15">
      <c r="B19" s="19">
        <v>10</v>
      </c>
      <c r="C19" s="23" t="s">
        <v>353</v>
      </c>
      <c r="D19" s="46" t="s">
        <v>379</v>
      </c>
      <c r="E19" s="19">
        <v>5</v>
      </c>
      <c r="F19" s="21">
        <v>5</v>
      </c>
      <c r="G19" s="19">
        <v>5</v>
      </c>
      <c r="H19" s="23"/>
      <c r="J19" s="19">
        <v>10</v>
      </c>
      <c r="K19" s="23" t="s">
        <v>353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6.5" customHeight="1" spans="2:15">
      <c r="B20" s="19">
        <v>11</v>
      </c>
      <c r="C20" s="23" t="s">
        <v>329</v>
      </c>
      <c r="D20" s="19" t="s">
        <v>379</v>
      </c>
      <c r="E20" s="19">
        <v>5</v>
      </c>
      <c r="F20" s="21">
        <v>5</v>
      </c>
      <c r="G20" s="19">
        <v>5</v>
      </c>
      <c r="H20" s="20"/>
      <c r="J20" s="19">
        <v>11</v>
      </c>
      <c r="K20" s="23" t="s">
        <v>329</v>
      </c>
      <c r="L20" s="19" t="s">
        <v>205</v>
      </c>
      <c r="M20" s="19" t="s">
        <v>209</v>
      </c>
      <c r="N20" s="19" t="s">
        <v>210</v>
      </c>
      <c r="O20" s="19" t="s">
        <v>211</v>
      </c>
    </row>
    <row r="21" s="2" customFormat="1" ht="46.5" customHeight="1" spans="2:15">
      <c r="B21" s="19">
        <v>12</v>
      </c>
      <c r="C21" s="23" t="s">
        <v>393</v>
      </c>
      <c r="D21" s="19" t="s">
        <v>379</v>
      </c>
      <c r="E21" s="19">
        <v>5</v>
      </c>
      <c r="F21" s="21">
        <v>5</v>
      </c>
      <c r="G21" s="19">
        <v>5</v>
      </c>
      <c r="H21" s="20"/>
      <c r="J21" s="19">
        <v>12</v>
      </c>
      <c r="K21" s="23" t="s">
        <v>393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6.5" customHeight="1" spans="2:15">
      <c r="B22" s="30" t="s">
        <v>305</v>
      </c>
      <c r="C22" s="30"/>
      <c r="D22" s="45"/>
      <c r="E22" s="42"/>
      <c r="F22" s="42"/>
      <c r="G22" s="42"/>
      <c r="H22" s="43"/>
      <c r="J22" s="30" t="s">
        <v>305</v>
      </c>
      <c r="K22" s="30"/>
      <c r="L22" s="42"/>
      <c r="M22" s="42"/>
      <c r="N22" s="42"/>
      <c r="O22" s="43"/>
    </row>
    <row r="23" s="2" customFormat="1" ht="46.5" customHeight="1" spans="2:15">
      <c r="B23" s="98">
        <v>13</v>
      </c>
      <c r="C23" s="48" t="s">
        <v>374</v>
      </c>
      <c r="D23" s="19" t="s">
        <v>379</v>
      </c>
      <c r="E23" s="19">
        <v>5</v>
      </c>
      <c r="F23" s="21">
        <v>5</v>
      </c>
      <c r="G23" s="19">
        <v>5</v>
      </c>
      <c r="H23" s="23"/>
      <c r="J23" s="98">
        <v>13</v>
      </c>
      <c r="K23" s="48" t="s">
        <v>374</v>
      </c>
      <c r="L23" s="19" t="s">
        <v>205</v>
      </c>
      <c r="M23" s="19" t="s">
        <v>209</v>
      </c>
      <c r="N23" s="19" t="s">
        <v>210</v>
      </c>
      <c r="O23" s="19" t="s">
        <v>211</v>
      </c>
    </row>
    <row r="24" s="2" customFormat="1" ht="46.5" customHeight="1" spans="2:15">
      <c r="B24" s="19">
        <v>14</v>
      </c>
      <c r="C24" s="23" t="s">
        <v>306</v>
      </c>
      <c r="D24" s="19" t="s">
        <v>379</v>
      </c>
      <c r="E24" s="19">
        <v>5</v>
      </c>
      <c r="F24" s="21">
        <v>5</v>
      </c>
      <c r="G24" s="19">
        <v>5</v>
      </c>
      <c r="H24" s="20"/>
      <c r="J24" s="50">
        <v>14</v>
      </c>
      <c r="K24" s="51" t="s">
        <v>306</v>
      </c>
      <c r="L24" s="50" t="s">
        <v>205</v>
      </c>
      <c r="M24" s="50" t="s">
        <v>209</v>
      </c>
      <c r="N24" s="50" t="s">
        <v>210</v>
      </c>
      <c r="O24" s="50" t="s">
        <v>211</v>
      </c>
    </row>
    <row r="25" s="2" customFormat="1" ht="46.5" customHeight="1" spans="2:15">
      <c r="B25" s="19">
        <v>15</v>
      </c>
      <c r="C25" s="23" t="s">
        <v>269</v>
      </c>
      <c r="D25" s="19" t="s">
        <v>379</v>
      </c>
      <c r="E25" s="19">
        <v>15</v>
      </c>
      <c r="F25" s="21">
        <v>15</v>
      </c>
      <c r="G25" s="19">
        <v>15</v>
      </c>
      <c r="H25" s="20"/>
      <c r="J25" s="52"/>
      <c r="K25" s="53"/>
      <c r="L25" s="52"/>
      <c r="M25" s="52"/>
      <c r="N25" s="52"/>
      <c r="O25" s="52"/>
    </row>
    <row r="26" s="2" customFormat="1" ht="46.5" customHeight="1" spans="2:15">
      <c r="B26" s="19"/>
      <c r="C26" s="49" t="s">
        <v>270</v>
      </c>
      <c r="D26" s="19"/>
      <c r="E26" s="19">
        <f>SUM(E7:E25)</f>
        <v>140</v>
      </c>
      <c r="F26" s="19">
        <f>SUM(F7:F25)</f>
        <v>140</v>
      </c>
      <c r="G26" s="19">
        <f>SUM(G7:G25)</f>
        <v>140</v>
      </c>
      <c r="H26" s="23"/>
      <c r="J26" s="52"/>
      <c r="K26" s="91"/>
      <c r="L26" s="52"/>
      <c r="M26" s="52"/>
      <c r="N26" s="52"/>
      <c r="O26" s="52"/>
    </row>
    <row r="27" s="2" customFormat="1" ht="46.5" customHeight="1" spans="2:14">
      <c r="B27" s="19"/>
      <c r="C27" s="49" t="s">
        <v>271</v>
      </c>
      <c r="D27" s="19"/>
      <c r="E27" s="19">
        <f>(E26/E26)*100</f>
        <v>100</v>
      </c>
      <c r="F27" s="99">
        <f>+F26/E26*100</f>
        <v>100</v>
      </c>
      <c r="G27" s="100">
        <f>+G26/E26*100</f>
        <v>100</v>
      </c>
      <c r="H27" s="23"/>
      <c r="J27" s="54"/>
      <c r="K27" s="54"/>
      <c r="L27" s="4"/>
      <c r="M27" s="4"/>
      <c r="N27" s="4"/>
    </row>
    <row r="28" s="2" customFormat="1" ht="46.5" customHeight="1" spans="2:15">
      <c r="B28" s="4"/>
      <c r="C28" s="3"/>
      <c r="D28" s="5"/>
      <c r="E28" s="5"/>
      <c r="F28" s="5"/>
      <c r="G28" s="5"/>
      <c r="J28" s="4"/>
      <c r="K28" s="24"/>
      <c r="L28" s="4"/>
      <c r="M28" s="4"/>
      <c r="N28" s="4"/>
      <c r="O28" s="4"/>
    </row>
    <row r="29" s="2" customFormat="1" ht="46.5" customHeight="1" spans="2:15">
      <c r="B29" s="4"/>
      <c r="C29" s="4"/>
      <c r="D29" s="24"/>
      <c r="E29" s="4"/>
      <c r="F29" s="4"/>
      <c r="G29" s="4"/>
      <c r="H29" s="4"/>
      <c r="J29" s="4"/>
      <c r="K29" s="24"/>
      <c r="L29" s="4"/>
      <c r="M29" s="4"/>
      <c r="N29" s="4"/>
      <c r="O29" s="4"/>
    </row>
    <row r="30" s="2" customFormat="1" ht="46.5" customHeight="1" spans="2:15">
      <c r="B30" s="4"/>
      <c r="C30" s="3"/>
      <c r="D30" s="5"/>
      <c r="E30" s="5"/>
      <c r="F30" s="5"/>
      <c r="G30" s="5"/>
      <c r="J30" s="4"/>
      <c r="K30" s="24"/>
      <c r="L30" s="4"/>
      <c r="M30" s="4"/>
      <c r="N30" s="4"/>
      <c r="O30" s="4"/>
    </row>
    <row r="31" s="2" customFormat="1" ht="46.5" customHeight="1" spans="2:15">
      <c r="B31" s="4"/>
      <c r="C31" s="3"/>
      <c r="D31" s="5"/>
      <c r="E31" s="5"/>
      <c r="F31" s="5"/>
      <c r="G31" s="5"/>
      <c r="J31" s="4"/>
      <c r="K31" s="24"/>
      <c r="L31" s="4"/>
      <c r="M31" s="4"/>
      <c r="N31" s="4"/>
      <c r="O31" s="4"/>
    </row>
    <row r="32" s="2" customFormat="1" ht="46.5" customHeight="1" spans="2:15">
      <c r="B32" s="4"/>
      <c r="C32" s="3"/>
      <c r="D32" s="5"/>
      <c r="E32" s="5"/>
      <c r="F32" s="5"/>
      <c r="G32" s="5"/>
      <c r="J32" s="4"/>
      <c r="K32" s="56"/>
      <c r="L32" s="4"/>
      <c r="M32" s="4"/>
      <c r="N32" s="4"/>
      <c r="O32" s="4"/>
    </row>
    <row r="33" s="2" customFormat="1" ht="46.5" customHeight="1" spans="2:14">
      <c r="B33" s="4"/>
      <c r="C33" s="3"/>
      <c r="D33" s="5"/>
      <c r="E33" s="5"/>
      <c r="F33" s="5"/>
      <c r="G33" s="5"/>
      <c r="J33" s="54"/>
      <c r="K33" s="54"/>
      <c r="L33" s="55"/>
      <c r="M33" s="4"/>
      <c r="N33" s="4"/>
    </row>
    <row r="34" s="2" customFormat="1" ht="46.5" customHeight="1" spans="2:15">
      <c r="B34" s="4"/>
      <c r="C34" s="3"/>
      <c r="D34" s="5"/>
      <c r="E34" s="5"/>
      <c r="F34" s="5"/>
      <c r="G34" s="5"/>
      <c r="J34" s="4"/>
      <c r="L34" s="4"/>
      <c r="M34" s="4"/>
      <c r="N34" s="4"/>
      <c r="O34" s="4"/>
    </row>
    <row r="35" s="2" customFormat="1" ht="46.5" customHeight="1" spans="2:15">
      <c r="B35" s="4"/>
      <c r="C35" s="3"/>
      <c r="D35" s="5"/>
      <c r="E35" s="5"/>
      <c r="F35" s="5"/>
      <c r="G35" s="5"/>
      <c r="J35" s="4"/>
      <c r="L35" s="4"/>
      <c r="M35" s="4"/>
      <c r="N35" s="4"/>
      <c r="O35" s="4"/>
    </row>
    <row r="36" s="2" customFormat="1" ht="46.5" customHeight="1" spans="2:15">
      <c r="B36" s="4"/>
      <c r="C36" s="3"/>
      <c r="D36" s="5"/>
      <c r="E36" s="5"/>
      <c r="F36" s="5"/>
      <c r="G36" s="5"/>
      <c r="J36" s="4"/>
      <c r="L36" s="4"/>
      <c r="M36" s="4"/>
      <c r="N36" s="4"/>
      <c r="O36" s="4"/>
    </row>
    <row r="37" s="2" customFormat="1" ht="46.5" customHeight="1" spans="2:14">
      <c r="B37" s="4"/>
      <c r="C37" s="3"/>
      <c r="D37" s="5"/>
      <c r="E37" s="5"/>
      <c r="F37" s="5"/>
      <c r="G37" s="5"/>
      <c r="J37" s="54"/>
      <c r="K37" s="54"/>
      <c r="L37" s="55"/>
      <c r="M37" s="4"/>
      <c r="N37" s="4"/>
    </row>
    <row r="38" s="2" customFormat="1" ht="46.5" customHeight="1" spans="2:15">
      <c r="B38" s="4"/>
      <c r="C38" s="3"/>
      <c r="D38" s="5"/>
      <c r="E38" s="5"/>
      <c r="F38" s="5"/>
      <c r="G38" s="5"/>
      <c r="J38" s="4"/>
      <c r="L38" s="4"/>
      <c r="M38" s="4"/>
      <c r="N38" s="4"/>
      <c r="O38" s="4"/>
    </row>
    <row r="39" s="2" customFormat="1" ht="46.5" customHeight="1" spans="2:15">
      <c r="B39" s="4"/>
      <c r="C39" s="3"/>
      <c r="D39" s="5"/>
      <c r="E39" s="5"/>
      <c r="F39" s="5"/>
      <c r="G39" s="5"/>
      <c r="J39" s="4"/>
      <c r="K39" s="56"/>
      <c r="L39" s="4"/>
      <c r="M39" s="4"/>
      <c r="N39" s="4"/>
      <c r="O39" s="4"/>
    </row>
    <row r="40" s="2" customFormat="1" ht="46.5" customHeight="1" spans="2:15">
      <c r="B40" s="4"/>
      <c r="C40" s="3"/>
      <c r="D40" s="5"/>
      <c r="E40" s="5"/>
      <c r="F40" s="5"/>
      <c r="G40" s="5"/>
      <c r="J40" s="4"/>
      <c r="K40" s="56"/>
      <c r="L40" s="4"/>
      <c r="M40" s="4"/>
      <c r="N40" s="4"/>
      <c r="O40" s="4"/>
    </row>
    <row r="41" s="2" customFormat="1" ht="46.5" customHeight="1" spans="2:15">
      <c r="B41" s="4"/>
      <c r="C41" s="3"/>
      <c r="D41" s="5"/>
      <c r="E41" s="5"/>
      <c r="F41" s="5"/>
      <c r="G41" s="5"/>
      <c r="J41" s="4"/>
      <c r="L41" s="4"/>
      <c r="M41" s="4"/>
      <c r="N41" s="4"/>
      <c r="O41" s="4"/>
    </row>
    <row r="42" s="2" customFormat="1" ht="46.5" customHeight="1" spans="2:14">
      <c r="B42" s="4"/>
      <c r="C42" s="3"/>
      <c r="D42" s="5"/>
      <c r="E42" s="5"/>
      <c r="F42" s="5"/>
      <c r="G42" s="5"/>
      <c r="J42" s="4"/>
      <c r="K42" s="57"/>
      <c r="L42" s="4"/>
      <c r="M42" s="4"/>
      <c r="N42" s="4"/>
    </row>
    <row r="43" s="2" customFormat="1" ht="46.5" customHeight="1" spans="2:14">
      <c r="B43" s="4"/>
      <c r="C43" s="3"/>
      <c r="D43" s="5"/>
      <c r="E43" s="5"/>
      <c r="F43" s="5"/>
      <c r="G43" s="5"/>
      <c r="J43" s="4"/>
      <c r="K43" s="57"/>
      <c r="L43" s="4"/>
      <c r="M43" s="4"/>
      <c r="N43" s="58"/>
    </row>
    <row r="44" s="2" customFormat="1" ht="42" customHeight="1" spans="2:7">
      <c r="B44" s="4"/>
      <c r="C44" s="3"/>
      <c r="D44" s="5"/>
      <c r="E44" s="5"/>
      <c r="F44" s="5"/>
      <c r="G44" s="5"/>
    </row>
    <row r="45" s="2" customFormat="1" ht="42" customHeight="1" spans="2:7">
      <c r="B45" s="4"/>
      <c r="C45" s="3"/>
      <c r="D45" s="5"/>
      <c r="E45" s="5"/>
      <c r="F45" s="5"/>
      <c r="G45" s="5"/>
    </row>
    <row r="46" s="2" customFormat="1" ht="39.75" customHeight="1" spans="2:7">
      <c r="B46" s="4"/>
      <c r="C46" s="3"/>
      <c r="D46" s="5"/>
      <c r="E46" s="5"/>
      <c r="F46" s="5"/>
      <c r="G46" s="5"/>
    </row>
    <row r="47" s="2" customFormat="1" ht="33" customHeight="1" spans="2:7">
      <c r="B47" s="4"/>
      <c r="C47" s="3"/>
      <c r="D47" s="5"/>
      <c r="E47" s="5"/>
      <c r="F47" s="5"/>
      <c r="G47" s="5"/>
    </row>
    <row r="48" s="2" customFormat="1" ht="51" customHeight="1" spans="2:7">
      <c r="B48" s="4"/>
      <c r="C48" s="3"/>
      <c r="D48" s="5"/>
      <c r="E48" s="5"/>
      <c r="F48" s="5"/>
      <c r="G48" s="5"/>
    </row>
    <row r="49" s="2" customFormat="1" ht="40.5" customHeight="1" spans="2:7">
      <c r="B49" s="4"/>
      <c r="C49" s="3"/>
      <c r="D49" s="5"/>
      <c r="E49" s="5"/>
      <c r="F49" s="5"/>
      <c r="G49" s="5"/>
    </row>
    <row r="50" s="2" customFormat="1" ht="34.5" customHeight="1" spans="2:7">
      <c r="B50" s="4"/>
      <c r="C50" s="3"/>
      <c r="D50" s="5"/>
      <c r="E50" s="5"/>
      <c r="F50" s="5"/>
      <c r="G50" s="5"/>
    </row>
    <row r="51" s="2" customFormat="1" ht="34.5" customHeight="1" spans="2:7">
      <c r="B51" s="4"/>
      <c r="C51" s="3"/>
      <c r="D51" s="5"/>
      <c r="E51" s="5"/>
      <c r="F51" s="5"/>
      <c r="G51" s="5"/>
    </row>
    <row r="52" s="2" customFormat="1" ht="34.5" customHeight="1" spans="2:7">
      <c r="B52" s="4"/>
      <c r="C52" s="3"/>
      <c r="D52" s="5"/>
      <c r="E52" s="5"/>
      <c r="F52" s="5"/>
      <c r="G52" s="5"/>
    </row>
    <row r="53" s="2" customFormat="1" ht="31.5" customHeight="1" spans="2:7">
      <c r="B53" s="4"/>
      <c r="C53" s="3"/>
      <c r="D53" s="5"/>
      <c r="E53" s="5"/>
      <c r="F53" s="5"/>
      <c r="G53" s="5"/>
    </row>
    <row r="54" s="2" customFormat="1" ht="34.5" customHeight="1" spans="2:7">
      <c r="B54" s="4"/>
      <c r="C54" s="3"/>
      <c r="D54" s="5"/>
      <c r="E54" s="5"/>
      <c r="F54" s="5"/>
      <c r="G54" s="5"/>
    </row>
    <row r="55" s="2" customFormat="1" ht="42" customHeight="1" spans="2:7">
      <c r="B55" s="4"/>
      <c r="C55" s="3"/>
      <c r="D55" s="5"/>
      <c r="E55" s="5"/>
      <c r="F55" s="5"/>
      <c r="G55" s="5"/>
    </row>
    <row r="56" s="2" customFormat="1" ht="42" customHeight="1" spans="2:7">
      <c r="B56" s="4"/>
      <c r="C56" s="3"/>
      <c r="D56" s="5"/>
      <c r="E56" s="5"/>
      <c r="F56" s="5"/>
      <c r="G56" s="5"/>
    </row>
    <row r="57" s="2" customFormat="1" ht="42" customHeight="1" spans="2:7">
      <c r="B57" s="4"/>
      <c r="C57" s="3"/>
      <c r="D57" s="5"/>
      <c r="E57" s="5"/>
      <c r="F57" s="5"/>
      <c r="G57" s="5"/>
    </row>
    <row r="58" s="2" customFormat="1" ht="61.5" customHeight="1" spans="2:7">
      <c r="B58" s="4"/>
      <c r="C58" s="3"/>
      <c r="D58" s="5"/>
      <c r="E58" s="5"/>
      <c r="F58" s="5"/>
      <c r="G58" s="5"/>
    </row>
    <row r="59" s="2" customFormat="1" ht="42" customHeight="1" spans="2:7">
      <c r="B59" s="4"/>
      <c r="C59" s="3"/>
      <c r="D59" s="5"/>
      <c r="E59" s="5"/>
      <c r="F59" s="5"/>
      <c r="G59" s="5"/>
    </row>
    <row r="60" s="2" customFormat="1" ht="45" customHeight="1" spans="2:7">
      <c r="B60" s="4"/>
      <c r="C60" s="3"/>
      <c r="D60" s="5"/>
      <c r="E60" s="5"/>
      <c r="F60" s="5"/>
      <c r="G60" s="5"/>
    </row>
    <row r="61" s="2" customFormat="1" ht="37.5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9.75" customHeight="1" spans="2:8">
      <c r="B63" s="4"/>
      <c r="C63" s="3"/>
      <c r="D63" s="5"/>
      <c r="E63" s="5"/>
      <c r="F63" s="5"/>
      <c r="G63" s="5"/>
      <c r="H63" s="3"/>
    </row>
    <row r="64" s="2" customFormat="1" ht="30" customHeight="1" spans="2:8">
      <c r="B64" s="4"/>
      <c r="C64" s="3"/>
      <c r="D64" s="5"/>
      <c r="E64" s="5"/>
      <c r="F64" s="5"/>
      <c r="G64" s="5"/>
      <c r="H64" s="3"/>
    </row>
    <row r="65" s="2" customFormat="1" ht="30" customHeight="1" spans="2:8">
      <c r="B65" s="4"/>
      <c r="C65" s="3"/>
      <c r="D65" s="5"/>
      <c r="E65" s="5"/>
      <c r="F65" s="5"/>
      <c r="G65" s="5"/>
      <c r="H65" s="3"/>
    </row>
    <row r="66" s="2" customFormat="1" ht="30" customHeight="1" spans="2:8">
      <c r="B66" s="4"/>
      <c r="C66" s="3"/>
      <c r="D66" s="5"/>
      <c r="E66" s="5"/>
      <c r="F66" s="5"/>
      <c r="G66" s="5"/>
      <c r="H66" s="3"/>
    </row>
    <row r="67" s="2" customFormat="1" ht="30" customHeight="1" spans="2:8">
      <c r="B67" s="4"/>
      <c r="C67" s="3"/>
      <c r="D67" s="5"/>
      <c r="E67" s="5"/>
      <c r="F67" s="5"/>
      <c r="G67" s="5"/>
      <c r="H67" s="3"/>
    </row>
    <row r="68" s="2" customFormat="1" ht="30" customHeight="1" spans="2:8">
      <c r="B68" s="4"/>
      <c r="C68" s="3"/>
      <c r="D68" s="5"/>
      <c r="E68" s="5"/>
      <c r="F68" s="5"/>
      <c r="G68" s="5"/>
      <c r="H68" s="3"/>
    </row>
    <row r="69" s="2" customFormat="1" ht="30" customHeight="1" spans="2:8">
      <c r="B69" s="4"/>
      <c r="C69" s="3"/>
      <c r="D69" s="5"/>
      <c r="E69" s="5"/>
      <c r="F69" s="5"/>
      <c r="G69" s="5"/>
      <c r="H69" s="3"/>
    </row>
    <row r="70" s="2" customFormat="1" ht="30" customHeight="1" spans="2:8">
      <c r="B70" s="4"/>
      <c r="C70" s="3"/>
      <c r="D70" s="5"/>
      <c r="E70" s="5"/>
      <c r="F70" s="5"/>
      <c r="G70" s="5"/>
      <c r="H70" s="3"/>
    </row>
    <row r="71" s="2" customFormat="1" ht="39.75" customHeight="1" spans="2:8">
      <c r="B71" s="4"/>
      <c r="C71" s="3"/>
      <c r="D71" s="5"/>
      <c r="E71" s="5"/>
      <c r="F71" s="5"/>
      <c r="G71" s="5"/>
      <c r="H71" s="3"/>
    </row>
    <row r="72" s="2" customFormat="1" ht="39.75" customHeight="1" spans="2:8">
      <c r="B72" s="4"/>
      <c r="C72" s="3"/>
      <c r="D72" s="5"/>
      <c r="E72" s="5"/>
      <c r="F72" s="5"/>
      <c r="G72" s="5"/>
      <c r="H72" s="3"/>
    </row>
    <row r="73" s="2" customFormat="1" ht="39.75" customHeight="1" spans="2:8">
      <c r="B73" s="4"/>
      <c r="C73" s="3"/>
      <c r="D73" s="5"/>
      <c r="E73" s="5"/>
      <c r="F73" s="5"/>
      <c r="G73" s="5"/>
      <c r="H73" s="3"/>
    </row>
    <row r="74" s="2" customFormat="1" ht="39.75" customHeight="1" spans="2:8">
      <c r="B74" s="4"/>
      <c r="C74" s="3"/>
      <c r="D74" s="5"/>
      <c r="E74" s="5"/>
      <c r="F74" s="5"/>
      <c r="G74" s="5"/>
      <c r="H74" s="3"/>
    </row>
    <row r="75" s="2" customFormat="1" ht="33.75" customHeight="1" spans="2:8">
      <c r="B75" s="4"/>
      <c r="C75" s="3"/>
      <c r="D75" s="5"/>
      <c r="E75" s="5"/>
      <c r="F75" s="5"/>
      <c r="G75" s="5"/>
      <c r="H75" s="3"/>
    </row>
    <row r="76" s="2" customFormat="1" ht="30" customHeight="1" spans="2:8">
      <c r="B76" s="4"/>
      <c r="C76" s="3"/>
      <c r="D76" s="5"/>
      <c r="E76" s="5"/>
      <c r="F76" s="5"/>
      <c r="G76" s="5"/>
      <c r="H76" s="3"/>
    </row>
    <row r="77" s="2" customFormat="1" ht="30" customHeight="1" spans="2:8">
      <c r="B77" s="4"/>
      <c r="C77" s="3"/>
      <c r="D77" s="5"/>
      <c r="E77" s="5"/>
      <c r="F77" s="5"/>
      <c r="G77" s="5"/>
      <c r="H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0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0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2:9">
      <c r="B93" s="4"/>
      <c r="C93" s="3"/>
      <c r="D93" s="5"/>
      <c r="E93" s="5"/>
      <c r="F93" s="5"/>
      <c r="G93" s="5"/>
      <c r="H93" s="3"/>
      <c r="I93" s="3"/>
    </row>
    <row r="94" s="2" customFormat="1" ht="30" customHeight="1" spans="2:9">
      <c r="B94" s="4"/>
      <c r="C94" s="3"/>
      <c r="D94" s="5"/>
      <c r="E94" s="5"/>
      <c r="F94" s="5"/>
      <c r="G94" s="5"/>
      <c r="H94" s="3"/>
      <c r="I94" s="3"/>
    </row>
    <row r="95" s="2" customFormat="1" ht="31.5" customHeight="1" spans="2:9">
      <c r="B95" s="4"/>
      <c r="C95" s="3"/>
      <c r="D95" s="5"/>
      <c r="E95" s="5"/>
      <c r="F95" s="5"/>
      <c r="G95" s="5"/>
      <c r="H95" s="3"/>
      <c r="I95" s="3"/>
    </row>
    <row r="96" s="2" customFormat="1" ht="30" customHeight="1" spans="2:9">
      <c r="B96" s="4"/>
      <c r="C96" s="3"/>
      <c r="D96" s="5"/>
      <c r="E96" s="5"/>
      <c r="F96" s="5"/>
      <c r="G96" s="5"/>
      <c r="H96" s="3"/>
      <c r="I96" s="3"/>
    </row>
    <row r="97" s="2" customFormat="1" ht="30" customHeight="1" spans="1:9">
      <c r="A97" s="3"/>
      <c r="B97" s="4"/>
      <c r="C97" s="3"/>
      <c r="D97" s="5"/>
      <c r="E97" s="5"/>
      <c r="F97" s="5"/>
      <c r="G97" s="5"/>
      <c r="H97" s="3"/>
      <c r="I97" s="3"/>
    </row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</sheetData>
  <autoFilter ref="A5:I109">
    <extLst/>
  </autoFilter>
  <mergeCells count="22">
    <mergeCell ref="B2:F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5:C15"/>
    <mergeCell ref="J15:K15"/>
    <mergeCell ref="B17:C17"/>
    <mergeCell ref="J17:K17"/>
    <mergeCell ref="B22:C22"/>
    <mergeCell ref="J22:K22"/>
    <mergeCell ref="J27:K27"/>
    <mergeCell ref="J33:K33"/>
    <mergeCell ref="J37:K37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1"/>
  <sheetViews>
    <sheetView zoomScale="80" zoomScaleNormal="80" workbookViewId="0">
      <pane ySplit="5" topLeftCell="A6" activePane="bottomLeft" state="frozen"/>
      <selection/>
      <selection pane="bottomLeft" activeCell="D26" sqref="D26"/>
    </sheetView>
  </sheetViews>
  <sheetFormatPr defaultColWidth="8.88888888888889" defaultRowHeight="15.6"/>
  <cols>
    <col min="1" max="1" width="8.88888888888889" style="3"/>
    <col min="2" max="2" width="3.88888888888889" style="4" customWidth="1"/>
    <col min="3" max="3" width="64.2222222222222" style="3" customWidth="1"/>
    <col min="4" max="6" width="20.4444444444444" style="5" customWidth="1"/>
    <col min="7" max="7" width="15.7777777777778" style="5" customWidth="1"/>
    <col min="8" max="8" width="20.4444444444444" style="3" customWidth="1"/>
    <col min="9" max="9" width="8.88888888888889" style="3"/>
    <col min="10" max="10" width="3.88888888888889" style="3" customWidth="1"/>
    <col min="11" max="11" width="85" style="3" customWidth="1"/>
    <col min="12" max="15" width="16.3333333333333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394</v>
      </c>
      <c r="C4" s="36"/>
      <c r="D4" s="36"/>
      <c r="E4" s="36"/>
      <c r="F4" s="36"/>
      <c r="G4" s="37"/>
      <c r="H4" s="38"/>
      <c r="J4" s="36" t="s">
        <v>395</v>
      </c>
      <c r="K4" s="36"/>
      <c r="L4" s="36"/>
      <c r="M4" s="36"/>
      <c r="N4" s="36"/>
      <c r="O4" s="38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92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396</v>
      </c>
      <c r="M6" s="30" t="s">
        <v>397</v>
      </c>
      <c r="N6" s="17" t="s">
        <v>277</v>
      </c>
      <c r="O6" s="30" t="s">
        <v>278</v>
      </c>
    </row>
    <row r="7" s="2" customFormat="1" ht="48" customHeight="1" spans="2:19">
      <c r="B7" s="19">
        <v>1</v>
      </c>
      <c r="C7" s="20" t="s">
        <v>295</v>
      </c>
      <c r="D7" s="19" t="s">
        <v>398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8" customHeight="1" spans="2:19">
      <c r="B8" s="19">
        <v>2</v>
      </c>
      <c r="C8" s="20" t="s">
        <v>247</v>
      </c>
      <c r="D8" s="19" t="s">
        <v>398</v>
      </c>
      <c r="E8" s="19">
        <v>10</v>
      </c>
      <c r="F8" s="21">
        <v>10</v>
      </c>
      <c r="G8" s="19">
        <v>10</v>
      </c>
      <c r="H8" s="20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8" customHeight="1" spans="2:19">
      <c r="B9" s="19">
        <v>3</v>
      </c>
      <c r="C9" s="41" t="s">
        <v>343</v>
      </c>
      <c r="D9" s="19" t="s">
        <v>398</v>
      </c>
      <c r="E9" s="19">
        <v>10</v>
      </c>
      <c r="F9" s="21">
        <v>10</v>
      </c>
      <c r="G9" s="19">
        <v>10</v>
      </c>
      <c r="H9" s="20"/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8" customHeight="1" spans="2:19">
      <c r="B10" s="19">
        <v>4</v>
      </c>
      <c r="C10" s="20" t="s">
        <v>315</v>
      </c>
      <c r="D10" s="19" t="s">
        <v>398</v>
      </c>
      <c r="E10" s="19">
        <v>10</v>
      </c>
      <c r="F10" s="21">
        <v>10</v>
      </c>
      <c r="G10" s="19">
        <v>10</v>
      </c>
      <c r="H10" s="20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8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2"/>
    </row>
    <row r="12" s="2" customFormat="1" ht="48" customHeight="1" spans="2:15">
      <c r="B12" s="19">
        <v>5</v>
      </c>
      <c r="C12" s="20" t="s">
        <v>317</v>
      </c>
      <c r="D12" s="19" t="s">
        <v>398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8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2"/>
    </row>
    <row r="14" s="2" customFormat="1" ht="48" customHeight="1" spans="2:15">
      <c r="B14" s="19">
        <v>6</v>
      </c>
      <c r="C14" s="20" t="s">
        <v>253</v>
      </c>
      <c r="D14" s="19" t="s">
        <v>398</v>
      </c>
      <c r="E14" s="19" t="s">
        <v>399</v>
      </c>
      <c r="F14" s="19" t="s">
        <v>399</v>
      </c>
      <c r="G14" s="19" t="s">
        <v>399</v>
      </c>
      <c r="H14" s="20"/>
      <c r="J14" s="19">
        <v>7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8" customHeight="1" spans="2:15">
      <c r="B15" s="30" t="s">
        <v>320</v>
      </c>
      <c r="C15" s="30"/>
      <c r="D15" s="42"/>
      <c r="E15" s="42"/>
      <c r="F15" s="42"/>
      <c r="G15" s="42"/>
      <c r="H15" s="43"/>
      <c r="J15" s="30" t="s">
        <v>320</v>
      </c>
      <c r="K15" s="30"/>
      <c r="L15" s="42"/>
      <c r="M15" s="42"/>
      <c r="N15" s="42"/>
      <c r="O15" s="42"/>
    </row>
    <row r="16" s="2" customFormat="1" ht="48" customHeight="1" spans="2:15">
      <c r="B16" s="19">
        <v>7</v>
      </c>
      <c r="C16" s="20" t="s">
        <v>260</v>
      </c>
      <c r="D16" s="19" t="s">
        <v>398</v>
      </c>
      <c r="E16" s="19" t="s">
        <v>399</v>
      </c>
      <c r="F16" s="19" t="s">
        <v>399</v>
      </c>
      <c r="G16" s="19" t="s">
        <v>399</v>
      </c>
      <c r="H16" s="23"/>
      <c r="J16" s="19">
        <v>8</v>
      </c>
      <c r="K16" s="20" t="s">
        <v>260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8" customHeight="1" spans="2:15">
      <c r="B17" s="30" t="s">
        <v>327</v>
      </c>
      <c r="C17" s="30"/>
      <c r="D17" s="45"/>
      <c r="E17" s="42"/>
      <c r="F17" s="42"/>
      <c r="G17" s="42"/>
      <c r="H17" s="43"/>
      <c r="J17" s="30" t="s">
        <v>327</v>
      </c>
      <c r="K17" s="30"/>
      <c r="L17" s="42"/>
      <c r="M17" s="42"/>
      <c r="N17" s="42"/>
      <c r="O17" s="42"/>
    </row>
    <row r="18" s="2" customFormat="1" ht="48" customHeight="1" spans="2:15">
      <c r="B18" s="19">
        <v>8</v>
      </c>
      <c r="C18" s="23" t="s">
        <v>352</v>
      </c>
      <c r="D18" s="19" t="s">
        <v>398</v>
      </c>
      <c r="E18" s="19">
        <v>5</v>
      </c>
      <c r="F18" s="21">
        <v>5</v>
      </c>
      <c r="G18" s="19">
        <v>5</v>
      </c>
      <c r="H18" s="20"/>
      <c r="J18" s="19">
        <v>9</v>
      </c>
      <c r="K18" s="23" t="s">
        <v>352</v>
      </c>
      <c r="L18" s="19" t="s">
        <v>205</v>
      </c>
      <c r="M18" s="19" t="s">
        <v>209</v>
      </c>
      <c r="N18" s="19" t="s">
        <v>210</v>
      </c>
      <c r="O18" s="19" t="s">
        <v>211</v>
      </c>
    </row>
    <row r="19" s="2" customFormat="1" ht="48" customHeight="1" spans="2:15">
      <c r="B19" s="19">
        <v>9</v>
      </c>
      <c r="C19" s="23" t="s">
        <v>329</v>
      </c>
      <c r="D19" s="19" t="s">
        <v>398</v>
      </c>
      <c r="E19" s="19">
        <v>5</v>
      </c>
      <c r="F19" s="21">
        <v>0</v>
      </c>
      <c r="G19" s="19">
        <v>5</v>
      </c>
      <c r="H19" s="20" t="s">
        <v>400</v>
      </c>
      <c r="J19" s="19">
        <v>10</v>
      </c>
      <c r="K19" s="23" t="s">
        <v>329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8" customHeight="1" spans="2:15">
      <c r="B20" s="19">
        <v>10</v>
      </c>
      <c r="C20" s="23" t="s">
        <v>330</v>
      </c>
      <c r="D20" s="19" t="s">
        <v>398</v>
      </c>
      <c r="E20" s="19">
        <v>5</v>
      </c>
      <c r="F20" s="21">
        <v>5</v>
      </c>
      <c r="G20" s="19">
        <v>5</v>
      </c>
      <c r="H20" s="20"/>
      <c r="J20" s="19">
        <v>11</v>
      </c>
      <c r="K20" s="23" t="s">
        <v>330</v>
      </c>
      <c r="L20" s="19" t="s">
        <v>205</v>
      </c>
      <c r="M20" s="19" t="s">
        <v>209</v>
      </c>
      <c r="N20" s="19" t="s">
        <v>210</v>
      </c>
      <c r="O20" s="19" t="s">
        <v>211</v>
      </c>
    </row>
    <row r="21" s="2" customFormat="1" ht="48" customHeight="1" spans="2:15">
      <c r="B21" s="30" t="s">
        <v>305</v>
      </c>
      <c r="C21" s="30"/>
      <c r="D21" s="45"/>
      <c r="E21" s="42"/>
      <c r="F21" s="42"/>
      <c r="G21" s="42"/>
      <c r="H21" s="43"/>
      <c r="J21" s="30" t="s">
        <v>305</v>
      </c>
      <c r="K21" s="30"/>
      <c r="L21" s="42"/>
      <c r="M21" s="42"/>
      <c r="N21" s="42"/>
      <c r="O21" s="42"/>
    </row>
    <row r="22" s="2" customFormat="1" ht="48" customHeight="1" spans="2:15">
      <c r="B22" s="19">
        <v>11</v>
      </c>
      <c r="C22" s="48" t="s">
        <v>374</v>
      </c>
      <c r="D22" s="19" t="s">
        <v>398</v>
      </c>
      <c r="E22" s="19">
        <v>5</v>
      </c>
      <c r="F22" s="21">
        <v>5</v>
      </c>
      <c r="G22" s="19">
        <v>5</v>
      </c>
      <c r="H22" s="20"/>
      <c r="J22" s="19">
        <v>12</v>
      </c>
      <c r="K22" s="48" t="s">
        <v>374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8" customHeight="1" spans="2:15">
      <c r="B23" s="19">
        <v>12</v>
      </c>
      <c r="C23" s="48" t="s">
        <v>389</v>
      </c>
      <c r="D23" s="19" t="s">
        <v>398</v>
      </c>
      <c r="E23" s="19">
        <v>10</v>
      </c>
      <c r="F23" s="21">
        <v>0</v>
      </c>
      <c r="G23" s="19">
        <v>10</v>
      </c>
      <c r="H23" s="20"/>
      <c r="J23" s="50"/>
      <c r="K23" s="93"/>
      <c r="L23" s="50"/>
      <c r="M23" s="50"/>
      <c r="N23" s="50"/>
      <c r="O23" s="50"/>
    </row>
    <row r="24" s="2" customFormat="1" ht="48" customHeight="1" spans="2:15">
      <c r="B24" s="19">
        <v>11</v>
      </c>
      <c r="C24" s="23" t="s">
        <v>306</v>
      </c>
      <c r="D24" s="19" t="s">
        <v>398</v>
      </c>
      <c r="E24" s="19">
        <v>5</v>
      </c>
      <c r="F24" s="21">
        <v>5</v>
      </c>
      <c r="G24" s="19">
        <v>5</v>
      </c>
      <c r="H24" s="20"/>
      <c r="J24" s="50">
        <v>13</v>
      </c>
      <c r="K24" s="51" t="s">
        <v>306</v>
      </c>
      <c r="L24" s="50" t="s">
        <v>205</v>
      </c>
      <c r="M24" s="50" t="s">
        <v>209</v>
      </c>
      <c r="N24" s="50" t="s">
        <v>210</v>
      </c>
      <c r="O24" s="50" t="s">
        <v>211</v>
      </c>
    </row>
    <row r="25" s="2" customFormat="1" ht="48" customHeight="1" spans="2:15">
      <c r="B25" s="19"/>
      <c r="C25" s="49" t="s">
        <v>270</v>
      </c>
      <c r="D25" s="19"/>
      <c r="E25" s="19">
        <f>SUM(E7:E24)</f>
        <v>95</v>
      </c>
      <c r="F25" s="21">
        <f>SUM(F5:F24)</f>
        <v>80</v>
      </c>
      <c r="G25" s="19">
        <f>SUM(G5:G24)</f>
        <v>95</v>
      </c>
      <c r="H25" s="23"/>
      <c r="J25" s="52"/>
      <c r="K25" s="91"/>
      <c r="L25" s="52"/>
      <c r="M25" s="52"/>
      <c r="N25" s="52"/>
      <c r="O25" s="52"/>
    </row>
    <row r="26" s="2" customFormat="1" ht="48" customHeight="1" spans="2:15">
      <c r="B26" s="19"/>
      <c r="C26" s="49" t="s">
        <v>271</v>
      </c>
      <c r="D26" s="19"/>
      <c r="E26" s="19">
        <f>(E25/E25)*100</f>
        <v>100</v>
      </c>
      <c r="F26" s="26">
        <f>+F25/E25*100</f>
        <v>84.2105263157895</v>
      </c>
      <c r="G26" s="27">
        <f>+G25/E25*100</f>
        <v>100</v>
      </c>
      <c r="H26" s="23"/>
      <c r="J26" s="4"/>
      <c r="K26" s="24"/>
      <c r="L26" s="4"/>
      <c r="M26" s="4"/>
      <c r="N26" s="4"/>
      <c r="O26" s="4"/>
    </row>
    <row r="27" s="2" customFormat="1" ht="48" customHeight="1" spans="2:15">
      <c r="B27" s="4"/>
      <c r="C27" s="3"/>
      <c r="D27" s="5"/>
      <c r="E27" s="5"/>
      <c r="F27" s="5"/>
      <c r="G27" s="5"/>
      <c r="J27" s="4"/>
      <c r="K27" s="24"/>
      <c r="L27" s="4"/>
      <c r="M27" s="4"/>
      <c r="N27" s="4"/>
      <c r="O27" s="4"/>
    </row>
    <row r="28" s="2" customFormat="1" ht="48" customHeight="1" spans="2:15">
      <c r="B28" s="4"/>
      <c r="C28" s="3" t="s">
        <v>401</v>
      </c>
      <c r="D28" s="5"/>
      <c r="E28" s="5"/>
      <c r="F28" s="5"/>
      <c r="G28" s="5"/>
      <c r="J28" s="4"/>
      <c r="K28" s="56"/>
      <c r="L28" s="4"/>
      <c r="M28" s="4"/>
      <c r="N28" s="4"/>
      <c r="O28" s="4"/>
    </row>
    <row r="29" s="2" customFormat="1" ht="48" customHeight="1" spans="2:14">
      <c r="B29" s="4"/>
      <c r="C29" s="3" t="s">
        <v>402</v>
      </c>
      <c r="D29" s="5"/>
      <c r="E29" s="5"/>
      <c r="F29" s="5"/>
      <c r="G29" s="5"/>
      <c r="J29" s="54"/>
      <c r="K29" s="54"/>
      <c r="L29" s="55"/>
      <c r="M29" s="4"/>
      <c r="N29" s="4"/>
    </row>
    <row r="30" s="2" customFormat="1" ht="48" customHeight="1" spans="2:15">
      <c r="B30" s="4"/>
      <c r="C30" s="3"/>
      <c r="D30" s="5"/>
      <c r="E30" s="5"/>
      <c r="F30" s="5"/>
      <c r="G30" s="5"/>
      <c r="J30" s="4"/>
      <c r="L30" s="4"/>
      <c r="M30" s="4"/>
      <c r="N30" s="4"/>
      <c r="O30" s="4"/>
    </row>
    <row r="31" s="2" customFormat="1" ht="48" customHeight="1" spans="2:15">
      <c r="B31" s="4"/>
      <c r="C31" s="3"/>
      <c r="D31" s="5"/>
      <c r="E31" s="5"/>
      <c r="F31" s="5"/>
      <c r="G31" s="5"/>
      <c r="J31" s="4"/>
      <c r="L31" s="4"/>
      <c r="M31" s="4"/>
      <c r="N31" s="4"/>
      <c r="O31" s="4"/>
    </row>
    <row r="32" s="2" customFormat="1" ht="48" customHeight="1" spans="2:15">
      <c r="B32" s="4"/>
      <c r="C32" s="3"/>
      <c r="D32" s="5"/>
      <c r="E32" s="5"/>
      <c r="F32" s="5"/>
      <c r="G32" s="5"/>
      <c r="J32" s="4"/>
      <c r="L32" s="4"/>
      <c r="M32" s="4"/>
      <c r="N32" s="4"/>
      <c r="O32" s="4"/>
    </row>
    <row r="33" s="2" customFormat="1" ht="48" customHeight="1" spans="2:14">
      <c r="B33" s="4"/>
      <c r="C33" s="3"/>
      <c r="D33" s="5"/>
      <c r="E33" s="5"/>
      <c r="F33" s="5"/>
      <c r="G33" s="5"/>
      <c r="J33" s="54"/>
      <c r="K33" s="54"/>
      <c r="L33" s="55"/>
      <c r="M33" s="4"/>
      <c r="N33" s="4"/>
    </row>
    <row r="34" s="2" customFormat="1" ht="48" customHeight="1" spans="2:15">
      <c r="B34" s="4"/>
      <c r="C34" s="3"/>
      <c r="D34" s="5"/>
      <c r="E34" s="5"/>
      <c r="F34" s="5"/>
      <c r="G34" s="5"/>
      <c r="J34" s="4"/>
      <c r="L34" s="4"/>
      <c r="M34" s="4"/>
      <c r="N34" s="4"/>
      <c r="O34" s="4"/>
    </row>
    <row r="35" s="2" customFormat="1" ht="48" customHeight="1" spans="2:15">
      <c r="B35" s="4"/>
      <c r="C35" s="3"/>
      <c r="D35" s="5"/>
      <c r="E35" s="5"/>
      <c r="F35" s="5"/>
      <c r="G35" s="5"/>
      <c r="J35" s="4"/>
      <c r="K35" s="56"/>
      <c r="L35" s="4"/>
      <c r="M35" s="4"/>
      <c r="N35" s="4"/>
      <c r="O35" s="4"/>
    </row>
    <row r="36" s="2" customFormat="1" ht="48" customHeight="1" spans="2:15">
      <c r="B36" s="4"/>
      <c r="C36" s="3"/>
      <c r="D36" s="5"/>
      <c r="E36" s="5"/>
      <c r="F36" s="5"/>
      <c r="G36" s="5"/>
      <c r="J36" s="4"/>
      <c r="K36" s="56"/>
      <c r="L36" s="4"/>
      <c r="M36" s="4"/>
      <c r="N36" s="4"/>
      <c r="O36" s="4"/>
    </row>
    <row r="37" s="2" customFormat="1" ht="48" customHeight="1" spans="2:15">
      <c r="B37" s="4"/>
      <c r="C37" s="3"/>
      <c r="D37" s="5"/>
      <c r="E37" s="5"/>
      <c r="F37" s="5"/>
      <c r="G37" s="5"/>
      <c r="J37" s="4"/>
      <c r="L37" s="4"/>
      <c r="M37" s="4"/>
      <c r="N37" s="4"/>
      <c r="O37" s="4"/>
    </row>
    <row r="38" s="2" customFormat="1" ht="48" customHeight="1" spans="2:14">
      <c r="B38" s="4"/>
      <c r="C38" s="3"/>
      <c r="D38" s="5"/>
      <c r="E38" s="5"/>
      <c r="F38" s="5"/>
      <c r="G38" s="5"/>
      <c r="J38" s="4"/>
      <c r="K38" s="57"/>
      <c r="L38" s="4"/>
      <c r="M38" s="4"/>
      <c r="N38" s="4"/>
    </row>
    <row r="39" s="2" customFormat="1" ht="48" customHeight="1" spans="2:14">
      <c r="B39" s="4"/>
      <c r="C39" s="3"/>
      <c r="D39" s="5"/>
      <c r="E39" s="5"/>
      <c r="F39" s="5"/>
      <c r="G39" s="5"/>
      <c r="J39" s="4"/>
      <c r="K39" s="57"/>
      <c r="L39" s="4"/>
      <c r="M39" s="4"/>
      <c r="N39" s="58"/>
    </row>
    <row r="40" s="2" customFormat="1" ht="42" customHeight="1" spans="2:7">
      <c r="B40" s="4"/>
      <c r="C40" s="3"/>
      <c r="D40" s="5"/>
      <c r="E40" s="5"/>
      <c r="F40" s="5"/>
      <c r="G40" s="5"/>
    </row>
    <row r="41" s="2" customFormat="1" ht="42" customHeight="1" spans="2:7">
      <c r="B41" s="4"/>
      <c r="C41" s="3"/>
      <c r="D41" s="5"/>
      <c r="E41" s="5"/>
      <c r="F41" s="5"/>
      <c r="G41" s="5"/>
    </row>
    <row r="42" s="2" customFormat="1" ht="39.75" customHeight="1" spans="2:7">
      <c r="B42" s="4"/>
      <c r="C42" s="3"/>
      <c r="D42" s="5"/>
      <c r="E42" s="5"/>
      <c r="F42" s="5"/>
      <c r="G42" s="5"/>
    </row>
    <row r="43" s="2" customFormat="1" ht="33" customHeight="1" spans="2:7">
      <c r="B43" s="4"/>
      <c r="C43" s="3"/>
      <c r="D43" s="5"/>
      <c r="E43" s="5"/>
      <c r="F43" s="5"/>
      <c r="G43" s="5"/>
    </row>
    <row r="44" s="2" customFormat="1" ht="51" customHeight="1" spans="2:7">
      <c r="B44" s="4"/>
      <c r="C44" s="3"/>
      <c r="D44" s="5"/>
      <c r="E44" s="5"/>
      <c r="F44" s="5"/>
      <c r="G44" s="5"/>
    </row>
    <row r="45" s="2" customFormat="1" ht="40.5" customHeight="1" spans="2:7">
      <c r="B45" s="4"/>
      <c r="C45" s="3"/>
      <c r="D45" s="5"/>
      <c r="E45" s="5"/>
      <c r="F45" s="5"/>
      <c r="G45" s="5"/>
    </row>
    <row r="46" s="2" customFormat="1" ht="34.5" customHeight="1" spans="2:7">
      <c r="B46" s="4"/>
      <c r="C46" s="3"/>
      <c r="D46" s="5"/>
      <c r="E46" s="5"/>
      <c r="F46" s="5"/>
      <c r="G46" s="5"/>
    </row>
    <row r="47" s="2" customFormat="1" ht="34.5" customHeight="1" spans="2:7">
      <c r="B47" s="4"/>
      <c r="C47" s="3"/>
      <c r="D47" s="5"/>
      <c r="E47" s="5"/>
      <c r="F47" s="5"/>
      <c r="G47" s="5"/>
    </row>
    <row r="48" s="2" customFormat="1" ht="34.5" customHeight="1" spans="2:7">
      <c r="B48" s="4"/>
      <c r="C48" s="3"/>
      <c r="D48" s="5"/>
      <c r="E48" s="5"/>
      <c r="F48" s="5"/>
      <c r="G48" s="5"/>
    </row>
    <row r="49" s="2" customFormat="1" ht="31.5" customHeight="1" spans="2:7">
      <c r="B49" s="4"/>
      <c r="C49" s="3"/>
      <c r="D49" s="5"/>
      <c r="E49" s="5"/>
      <c r="F49" s="5"/>
      <c r="G49" s="5"/>
    </row>
    <row r="50" s="2" customFormat="1" ht="34.5" customHeight="1" spans="2:7">
      <c r="B50" s="4"/>
      <c r="C50" s="3"/>
      <c r="D50" s="5"/>
      <c r="E50" s="5"/>
      <c r="F50" s="5"/>
      <c r="G50" s="5"/>
    </row>
    <row r="51" s="2" customFormat="1" ht="42" customHeight="1" spans="2:7">
      <c r="B51" s="4"/>
      <c r="C51" s="3"/>
      <c r="D51" s="5"/>
      <c r="E51" s="5"/>
      <c r="F51" s="5"/>
      <c r="G51" s="5"/>
    </row>
    <row r="52" s="2" customFormat="1" ht="42" customHeight="1" spans="2:7">
      <c r="B52" s="4"/>
      <c r="C52" s="3"/>
      <c r="D52" s="5"/>
      <c r="E52" s="5"/>
      <c r="F52" s="5"/>
      <c r="G52" s="5"/>
    </row>
    <row r="53" s="2" customFormat="1" ht="42" customHeight="1" spans="2:7">
      <c r="B53" s="4"/>
      <c r="C53" s="3"/>
      <c r="D53" s="5"/>
      <c r="E53" s="5"/>
      <c r="F53" s="5"/>
      <c r="G53" s="5"/>
    </row>
    <row r="54" s="2" customFormat="1" ht="61.5" customHeight="1" spans="2:7">
      <c r="B54" s="4"/>
      <c r="C54" s="3"/>
      <c r="D54" s="5"/>
      <c r="E54" s="5"/>
      <c r="F54" s="5"/>
      <c r="G54" s="5"/>
    </row>
    <row r="55" s="2" customFormat="1" ht="42" customHeight="1" spans="2:7">
      <c r="B55" s="4"/>
      <c r="C55" s="3"/>
      <c r="D55" s="5"/>
      <c r="E55" s="5"/>
      <c r="F55" s="5"/>
      <c r="G55" s="5"/>
    </row>
    <row r="56" s="2" customFormat="1" ht="45" customHeight="1" spans="2:7">
      <c r="B56" s="4"/>
      <c r="C56" s="3"/>
      <c r="D56" s="5"/>
      <c r="E56" s="5"/>
      <c r="F56" s="5"/>
      <c r="G56" s="5"/>
    </row>
    <row r="57" s="2" customFormat="1" ht="37.5" customHeight="1" spans="2:7">
      <c r="B57" s="4"/>
      <c r="C57" s="3"/>
      <c r="D57" s="5"/>
      <c r="E57" s="5"/>
      <c r="F57" s="5"/>
      <c r="G57" s="5"/>
    </row>
    <row r="58" s="2" customFormat="1" ht="30" customHeight="1" spans="2:7">
      <c r="B58" s="4"/>
      <c r="C58" s="3"/>
      <c r="D58" s="5"/>
      <c r="E58" s="5"/>
      <c r="F58" s="5"/>
      <c r="G58" s="5"/>
    </row>
    <row r="59" s="2" customFormat="1" ht="39.75" customHeight="1" spans="2:7">
      <c r="B59" s="4"/>
      <c r="C59" s="3"/>
      <c r="D59" s="5"/>
      <c r="E59" s="5"/>
      <c r="F59" s="5"/>
      <c r="G59" s="5"/>
    </row>
    <row r="60" s="2" customFormat="1" ht="30" customHeight="1" spans="2:7">
      <c r="B60" s="4"/>
      <c r="C60" s="3"/>
      <c r="D60" s="5"/>
      <c r="E60" s="5"/>
      <c r="F60" s="5"/>
      <c r="G60" s="5"/>
    </row>
    <row r="61" s="2" customFormat="1" ht="30" customHeight="1" spans="2:7">
      <c r="B61" s="4"/>
      <c r="C61" s="3"/>
      <c r="D61" s="5"/>
      <c r="E61" s="5"/>
      <c r="F61" s="5"/>
      <c r="G61" s="5"/>
    </row>
    <row r="62" s="2" customFormat="1" ht="30" customHeight="1" spans="2:8">
      <c r="B62" s="4"/>
      <c r="C62" s="3"/>
      <c r="D62" s="5"/>
      <c r="E62" s="5"/>
      <c r="F62" s="5"/>
      <c r="G62" s="5"/>
      <c r="H62" s="3"/>
    </row>
    <row r="63" s="2" customFormat="1" ht="30" customHeight="1" spans="2:8">
      <c r="B63" s="4"/>
      <c r="C63" s="3"/>
      <c r="D63" s="5"/>
      <c r="E63" s="5"/>
      <c r="F63" s="5"/>
      <c r="G63" s="5"/>
      <c r="H63" s="3"/>
    </row>
    <row r="64" s="2" customFormat="1" ht="30" customHeight="1" spans="2:8">
      <c r="B64" s="4"/>
      <c r="C64" s="3"/>
      <c r="D64" s="5"/>
      <c r="E64" s="5"/>
      <c r="F64" s="5"/>
      <c r="G64" s="5"/>
      <c r="H64" s="3"/>
    </row>
    <row r="65" s="2" customFormat="1" ht="30" customHeight="1" spans="2:8">
      <c r="B65" s="4"/>
      <c r="C65" s="3"/>
      <c r="D65" s="5"/>
      <c r="E65" s="5"/>
      <c r="F65" s="5"/>
      <c r="G65" s="5"/>
      <c r="H65" s="3"/>
    </row>
    <row r="66" s="2" customFormat="1" ht="30" customHeight="1" spans="2:8">
      <c r="B66" s="4"/>
      <c r="C66" s="3"/>
      <c r="D66" s="5"/>
      <c r="E66" s="5"/>
      <c r="F66" s="5"/>
      <c r="G66" s="5"/>
      <c r="H66" s="3"/>
    </row>
    <row r="67" s="2" customFormat="1" ht="39.75" customHeight="1" spans="2:8">
      <c r="B67" s="4"/>
      <c r="C67" s="3"/>
      <c r="D67" s="5"/>
      <c r="E67" s="5"/>
      <c r="F67" s="5"/>
      <c r="G67" s="5"/>
      <c r="H67" s="3"/>
    </row>
    <row r="68" s="2" customFormat="1" ht="39.75" customHeight="1" spans="2:8">
      <c r="B68" s="4"/>
      <c r="C68" s="3"/>
      <c r="D68" s="5"/>
      <c r="E68" s="5"/>
      <c r="F68" s="5"/>
      <c r="G68" s="5"/>
      <c r="H68" s="3"/>
    </row>
    <row r="69" s="2" customFormat="1" ht="39.75" customHeight="1" spans="2:8">
      <c r="B69" s="4"/>
      <c r="C69" s="3"/>
      <c r="D69" s="5"/>
      <c r="E69" s="5"/>
      <c r="F69" s="5"/>
      <c r="G69" s="5"/>
      <c r="H69" s="3"/>
    </row>
    <row r="70" s="2" customFormat="1" ht="39.75" customHeight="1" spans="2:8">
      <c r="B70" s="4"/>
      <c r="C70" s="3"/>
      <c r="D70" s="5"/>
      <c r="E70" s="5"/>
      <c r="F70" s="5"/>
      <c r="G70" s="5"/>
      <c r="H70" s="3"/>
    </row>
    <row r="71" s="2" customFormat="1" ht="33.75" customHeight="1" spans="2:8">
      <c r="B71" s="4"/>
      <c r="C71" s="3"/>
      <c r="D71" s="5"/>
      <c r="E71" s="5"/>
      <c r="F71" s="5"/>
      <c r="G71" s="5"/>
      <c r="H71" s="3"/>
    </row>
    <row r="72" s="2" customFormat="1" ht="30" customHeight="1" spans="2:8">
      <c r="B72" s="4"/>
      <c r="C72" s="3"/>
      <c r="D72" s="5"/>
      <c r="E72" s="5"/>
      <c r="F72" s="5"/>
      <c r="G72" s="5"/>
      <c r="H72" s="3"/>
    </row>
    <row r="73" s="2" customFormat="1" ht="30" customHeight="1" spans="2:8">
      <c r="B73" s="4"/>
      <c r="C73" s="3"/>
      <c r="D73" s="5"/>
      <c r="E73" s="5"/>
      <c r="F73" s="5"/>
      <c r="G73" s="5"/>
      <c r="H73" s="3"/>
    </row>
    <row r="74" s="2" customFormat="1" ht="30" customHeight="1" spans="2:9">
      <c r="B74" s="4"/>
      <c r="C74" s="3"/>
      <c r="D74" s="5"/>
      <c r="E74" s="5"/>
      <c r="F74" s="5"/>
      <c r="G74" s="5"/>
      <c r="H74" s="3"/>
      <c r="I74" s="3"/>
    </row>
    <row r="75" s="2" customFormat="1" ht="30" customHeight="1" spans="2:9">
      <c r="B75" s="4"/>
      <c r="C75" s="3"/>
      <c r="D75" s="5"/>
      <c r="E75" s="5"/>
      <c r="F75" s="5"/>
      <c r="G75" s="5"/>
      <c r="H75" s="3"/>
      <c r="I75" s="3"/>
    </row>
    <row r="76" s="2" customFormat="1" ht="30" customHeight="1" spans="2:9">
      <c r="B76" s="4"/>
      <c r="C76" s="3"/>
      <c r="D76" s="5"/>
      <c r="E76" s="5"/>
      <c r="F76" s="5"/>
      <c r="G76" s="5"/>
      <c r="H76" s="3"/>
      <c r="I76" s="3"/>
    </row>
    <row r="77" s="2" customFormat="1" ht="30" customHeight="1" spans="2:9">
      <c r="B77" s="4"/>
      <c r="C77" s="3"/>
      <c r="D77" s="5"/>
      <c r="E77" s="5"/>
      <c r="F77" s="5"/>
      <c r="G77" s="5"/>
      <c r="H77" s="3"/>
      <c r="I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1.5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0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1:9">
      <c r="A93" s="3"/>
      <c r="B93" s="4"/>
      <c r="C93" s="3"/>
      <c r="D93" s="5"/>
      <c r="E93" s="5"/>
      <c r="F93" s="5"/>
      <c r="G93" s="5"/>
      <c r="H93" s="3"/>
      <c r="I93" s="3"/>
    </row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autoFilter ref="A5:I103">
    <extLst/>
  </autoFilter>
  <mergeCells count="23">
    <mergeCell ref="B2:F2"/>
    <mergeCell ref="B4:F4"/>
    <mergeCell ref="J4:N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7:C17"/>
    <mergeCell ref="J17:K17"/>
    <mergeCell ref="B21:C21"/>
    <mergeCell ref="J21:K21"/>
    <mergeCell ref="J29:K29"/>
    <mergeCell ref="J33:K33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2"/>
  <sheetViews>
    <sheetView topLeftCell="C1" workbookViewId="0">
      <pane ySplit="5" topLeftCell="A25" activePane="bottomLeft" state="frozen"/>
      <selection/>
      <selection pane="bottomLeft" activeCell="E27" sqref="E27"/>
    </sheetView>
  </sheetViews>
  <sheetFormatPr defaultColWidth="8.88888888888889" defaultRowHeight="15.6"/>
  <cols>
    <col min="1" max="1" width="8.88888888888889" style="3"/>
    <col min="2" max="2" width="3.88888888888889" style="4" customWidth="1"/>
    <col min="3" max="3" width="64.2222222222222" style="3" customWidth="1"/>
    <col min="4" max="6" width="20.4444444444444" style="5" customWidth="1"/>
    <col min="7" max="7" width="15.1111111111111" style="5" customWidth="1"/>
    <col min="8" max="8" width="20.4444444444444" style="3" customWidth="1"/>
    <col min="9" max="9" width="8.88888888888889" style="3"/>
    <col min="10" max="10" width="3.88888888888889" style="3" customWidth="1"/>
    <col min="11" max="11" width="85" style="3" customWidth="1"/>
    <col min="12" max="15" width="16.3333333333333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403</v>
      </c>
      <c r="C4" s="36"/>
      <c r="D4" s="36"/>
      <c r="E4" s="36"/>
      <c r="F4" s="36"/>
      <c r="G4" s="37"/>
      <c r="H4" s="38"/>
      <c r="J4" s="36" t="s">
        <v>395</v>
      </c>
      <c r="K4" s="36"/>
      <c r="L4" s="36"/>
      <c r="M4" s="36"/>
      <c r="N4" s="36"/>
      <c r="O4" s="38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13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396</v>
      </c>
      <c r="M6" s="30" t="s">
        <v>397</v>
      </c>
      <c r="N6" s="17" t="s">
        <v>277</v>
      </c>
      <c r="O6" s="30" t="s">
        <v>278</v>
      </c>
    </row>
    <row r="7" s="2" customFormat="1" ht="48" customHeight="1" spans="2:19">
      <c r="B7" s="19">
        <v>1</v>
      </c>
      <c r="C7" s="20" t="s">
        <v>295</v>
      </c>
      <c r="D7" s="19" t="s">
        <v>398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8" customHeight="1" spans="2:19">
      <c r="B8" s="19">
        <v>2</v>
      </c>
      <c r="C8" s="20" t="s">
        <v>247</v>
      </c>
      <c r="D8" s="19" t="s">
        <v>398</v>
      </c>
      <c r="E8" s="19">
        <v>10</v>
      </c>
      <c r="F8" s="21">
        <v>10</v>
      </c>
      <c r="G8" s="19">
        <v>10</v>
      </c>
      <c r="H8" s="20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8" customHeight="1" spans="2:19">
      <c r="B9" s="19">
        <v>3</v>
      </c>
      <c r="C9" s="41" t="s">
        <v>343</v>
      </c>
      <c r="D9" s="19" t="s">
        <v>398</v>
      </c>
      <c r="E9" s="19">
        <v>10</v>
      </c>
      <c r="F9" s="21">
        <v>10</v>
      </c>
      <c r="G9" s="19">
        <v>10</v>
      </c>
      <c r="H9" s="20"/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8" customHeight="1" spans="2:19">
      <c r="B10" s="19">
        <v>4</v>
      </c>
      <c r="C10" s="20" t="s">
        <v>315</v>
      </c>
      <c r="D10" s="19" t="s">
        <v>398</v>
      </c>
      <c r="E10" s="19">
        <v>10</v>
      </c>
      <c r="F10" s="21">
        <v>10</v>
      </c>
      <c r="G10" s="19">
        <v>10</v>
      </c>
      <c r="H10" s="20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8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2"/>
    </row>
    <row r="12" s="2" customFormat="1" ht="48" customHeight="1" spans="2:15">
      <c r="B12" s="19">
        <v>5</v>
      </c>
      <c r="C12" s="20" t="s">
        <v>317</v>
      </c>
      <c r="D12" s="19" t="s">
        <v>398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8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2"/>
    </row>
    <row r="14" s="2" customFormat="1" ht="48" customHeight="1" spans="2:15">
      <c r="B14" s="19">
        <v>6</v>
      </c>
      <c r="C14" s="20" t="s">
        <v>253</v>
      </c>
      <c r="D14" s="19" t="s">
        <v>398</v>
      </c>
      <c r="E14" s="19">
        <v>10</v>
      </c>
      <c r="F14" s="21">
        <v>10</v>
      </c>
      <c r="G14" s="19">
        <v>10</v>
      </c>
      <c r="H14" s="20"/>
      <c r="J14" s="19">
        <v>7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8" customHeight="1" spans="2:15">
      <c r="B15" s="30" t="s">
        <v>320</v>
      </c>
      <c r="C15" s="30"/>
      <c r="D15" s="42"/>
      <c r="E15" s="42"/>
      <c r="F15" s="42"/>
      <c r="G15" s="42"/>
      <c r="H15" s="43"/>
      <c r="J15" s="30" t="s">
        <v>320</v>
      </c>
      <c r="K15" s="30"/>
      <c r="L15" s="42"/>
      <c r="M15" s="42"/>
      <c r="N15" s="42"/>
      <c r="O15" s="42"/>
    </row>
    <row r="16" s="2" customFormat="1" ht="48" customHeight="1" spans="2:15">
      <c r="B16" s="19">
        <v>7</v>
      </c>
      <c r="C16" s="20" t="s">
        <v>260</v>
      </c>
      <c r="D16" s="19" t="s">
        <v>398</v>
      </c>
      <c r="E16" s="19">
        <v>15</v>
      </c>
      <c r="F16" s="21">
        <v>15</v>
      </c>
      <c r="G16" s="19">
        <v>15</v>
      </c>
      <c r="H16" s="23"/>
      <c r="J16" s="19">
        <v>8</v>
      </c>
      <c r="K16" s="20" t="s">
        <v>260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8" customHeight="1" spans="2:15">
      <c r="B17" s="30" t="s">
        <v>327</v>
      </c>
      <c r="C17" s="30"/>
      <c r="D17" s="45"/>
      <c r="E17" s="42"/>
      <c r="F17" s="42"/>
      <c r="G17" s="42"/>
      <c r="H17" s="43"/>
      <c r="J17" s="30" t="s">
        <v>327</v>
      </c>
      <c r="K17" s="30"/>
      <c r="L17" s="42"/>
      <c r="M17" s="42"/>
      <c r="N17" s="42"/>
      <c r="O17" s="42"/>
    </row>
    <row r="18" s="2" customFormat="1" ht="48" customHeight="1" spans="2:15">
      <c r="B18" s="19">
        <v>8</v>
      </c>
      <c r="C18" s="23" t="s">
        <v>352</v>
      </c>
      <c r="D18" s="19" t="s">
        <v>398</v>
      </c>
      <c r="E18" s="19">
        <v>5</v>
      </c>
      <c r="F18" s="21">
        <v>0</v>
      </c>
      <c r="G18" s="19">
        <v>5</v>
      </c>
      <c r="H18" s="20" t="s">
        <v>404</v>
      </c>
      <c r="J18" s="19">
        <v>9</v>
      </c>
      <c r="K18" s="23" t="s">
        <v>352</v>
      </c>
      <c r="L18" s="19" t="s">
        <v>205</v>
      </c>
      <c r="M18" s="19" t="s">
        <v>209</v>
      </c>
      <c r="N18" s="19" t="s">
        <v>210</v>
      </c>
      <c r="O18" s="19" t="s">
        <v>211</v>
      </c>
    </row>
    <row r="19" s="2" customFormat="1" ht="48" customHeight="1" spans="2:15">
      <c r="B19" s="19">
        <v>9</v>
      </c>
      <c r="C19" s="23" t="s">
        <v>329</v>
      </c>
      <c r="D19" s="19" t="s">
        <v>398</v>
      </c>
      <c r="E19" s="19">
        <v>5</v>
      </c>
      <c r="F19" s="21">
        <v>0</v>
      </c>
      <c r="G19" s="19">
        <v>5</v>
      </c>
      <c r="H19" s="20"/>
      <c r="J19" s="19">
        <v>10</v>
      </c>
      <c r="K19" s="23" t="s">
        <v>329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8" customHeight="1" spans="2:15">
      <c r="B20" s="19">
        <v>10</v>
      </c>
      <c r="C20" s="23" t="s">
        <v>330</v>
      </c>
      <c r="D20" s="19" t="s">
        <v>398</v>
      </c>
      <c r="E20" s="19">
        <v>5</v>
      </c>
      <c r="F20" s="21">
        <v>5</v>
      </c>
      <c r="G20" s="19">
        <v>5</v>
      </c>
      <c r="H20" s="20"/>
      <c r="J20" s="19">
        <v>11</v>
      </c>
      <c r="K20" s="23" t="s">
        <v>330</v>
      </c>
      <c r="L20" s="19" t="s">
        <v>205</v>
      </c>
      <c r="M20" s="19" t="s">
        <v>209</v>
      </c>
      <c r="N20" s="19" t="s">
        <v>210</v>
      </c>
      <c r="O20" s="19" t="s">
        <v>211</v>
      </c>
    </row>
    <row r="21" s="2" customFormat="1" ht="48" customHeight="1" spans="2:15">
      <c r="B21" s="30" t="s">
        <v>305</v>
      </c>
      <c r="C21" s="30"/>
      <c r="D21" s="45"/>
      <c r="E21" s="42"/>
      <c r="F21" s="42"/>
      <c r="G21" s="42"/>
      <c r="H21" s="43"/>
      <c r="J21" s="30" t="s">
        <v>305</v>
      </c>
      <c r="K21" s="30"/>
      <c r="L21" s="42"/>
      <c r="M21" s="42"/>
      <c r="N21" s="42"/>
      <c r="O21" s="42"/>
    </row>
    <row r="22" s="2" customFormat="1" ht="48" customHeight="1" spans="2:15">
      <c r="B22" s="19">
        <v>11</v>
      </c>
      <c r="C22" s="48" t="s">
        <v>374</v>
      </c>
      <c r="D22" s="19" t="s">
        <v>398</v>
      </c>
      <c r="E22" s="19">
        <v>5</v>
      </c>
      <c r="F22" s="21">
        <v>5</v>
      </c>
      <c r="G22" s="19">
        <v>5</v>
      </c>
      <c r="H22" s="20"/>
      <c r="J22" s="19">
        <v>12</v>
      </c>
      <c r="K22" s="48" t="s">
        <v>374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8" customHeight="1" spans="2:15">
      <c r="B23" s="19">
        <v>12</v>
      </c>
      <c r="C23" s="23" t="s">
        <v>306</v>
      </c>
      <c r="D23" s="19" t="s">
        <v>398</v>
      </c>
      <c r="E23" s="19">
        <v>5</v>
      </c>
      <c r="F23" s="21">
        <v>5</v>
      </c>
      <c r="G23" s="19">
        <v>5</v>
      </c>
      <c r="H23" s="20"/>
      <c r="J23" s="19">
        <v>13</v>
      </c>
      <c r="K23" s="23" t="s">
        <v>306</v>
      </c>
      <c r="L23" s="19" t="s">
        <v>205</v>
      </c>
      <c r="M23" s="19" t="s">
        <v>209</v>
      </c>
      <c r="N23" s="19" t="s">
        <v>210</v>
      </c>
      <c r="O23" s="19" t="s">
        <v>211</v>
      </c>
    </row>
    <row r="24" s="2" customFormat="1" ht="48" customHeight="1" spans="2:15">
      <c r="B24" s="19"/>
      <c r="C24" s="23" t="s">
        <v>405</v>
      </c>
      <c r="D24" s="19" t="s">
        <v>398</v>
      </c>
      <c r="E24" s="19">
        <v>5</v>
      </c>
      <c r="F24" s="21">
        <v>0</v>
      </c>
      <c r="G24" s="19">
        <v>5</v>
      </c>
      <c r="H24" s="20" t="s">
        <v>406</v>
      </c>
      <c r="J24" s="50"/>
      <c r="K24" s="51"/>
      <c r="L24" s="19"/>
      <c r="M24" s="19"/>
      <c r="N24" s="19"/>
      <c r="O24" s="19"/>
    </row>
    <row r="25" s="2" customFormat="1" ht="48" customHeight="1" spans="2:15">
      <c r="B25" s="19">
        <v>13</v>
      </c>
      <c r="C25" s="23" t="s">
        <v>269</v>
      </c>
      <c r="D25" s="19" t="s">
        <v>398</v>
      </c>
      <c r="E25" s="19">
        <v>15</v>
      </c>
      <c r="F25" s="21">
        <v>15</v>
      </c>
      <c r="G25" s="19">
        <v>15</v>
      </c>
      <c r="H25" s="20"/>
      <c r="J25" s="50">
        <v>14</v>
      </c>
      <c r="K25" s="51" t="s">
        <v>269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48" customHeight="1" spans="2:15">
      <c r="B26" s="19"/>
      <c r="C26" s="49" t="s">
        <v>270</v>
      </c>
      <c r="D26" s="19"/>
      <c r="E26" s="19">
        <f>SUM(E7:E25)</f>
        <v>130</v>
      </c>
      <c r="F26" s="21">
        <f>SUM(F5:F25)</f>
        <v>115</v>
      </c>
      <c r="G26" s="19">
        <f>SUM(G5:G25)</f>
        <v>130</v>
      </c>
      <c r="H26" s="23"/>
      <c r="J26" s="52"/>
      <c r="K26" s="91"/>
      <c r="L26" s="52"/>
      <c r="M26" s="52"/>
      <c r="N26" s="52"/>
      <c r="O26" s="52"/>
    </row>
    <row r="27" s="2" customFormat="1" ht="48" customHeight="1" spans="2:15">
      <c r="B27" s="19"/>
      <c r="C27" s="49" t="s">
        <v>271</v>
      </c>
      <c r="D27" s="19"/>
      <c r="E27" s="19">
        <f>(E26/E26)*100</f>
        <v>100</v>
      </c>
      <c r="F27" s="26">
        <f>+F26/E26*100</f>
        <v>88.4615384615385</v>
      </c>
      <c r="G27" s="27">
        <f>+G26/E26*100</f>
        <v>100</v>
      </c>
      <c r="H27" s="23"/>
      <c r="J27" s="4"/>
      <c r="K27" s="24"/>
      <c r="L27" s="4"/>
      <c r="M27" s="4"/>
      <c r="N27" s="4"/>
      <c r="O27" s="4"/>
    </row>
    <row r="28" s="2" customFormat="1" ht="48" customHeight="1" spans="2:15">
      <c r="B28" s="4"/>
      <c r="C28" s="3"/>
      <c r="D28" s="5"/>
      <c r="E28" s="5"/>
      <c r="F28" s="5"/>
      <c r="G28" s="5"/>
      <c r="J28" s="4"/>
      <c r="K28" s="24"/>
      <c r="L28" s="4"/>
      <c r="M28" s="4"/>
      <c r="N28" s="4"/>
      <c r="O28" s="4"/>
    </row>
    <row r="29" s="2" customFormat="1" ht="48" customHeight="1" spans="2:15">
      <c r="B29" s="4"/>
      <c r="C29" s="3"/>
      <c r="D29" s="5"/>
      <c r="E29" s="5"/>
      <c r="F29" s="5"/>
      <c r="G29" s="5"/>
      <c r="J29" s="4"/>
      <c r="K29" s="56"/>
      <c r="L29" s="4"/>
      <c r="M29" s="4"/>
      <c r="N29" s="4"/>
      <c r="O29" s="4"/>
    </row>
    <row r="30" s="2" customFormat="1" ht="48" customHeight="1" spans="2:14">
      <c r="B30" s="4"/>
      <c r="C30" s="3"/>
      <c r="D30" s="5"/>
      <c r="E30" s="5"/>
      <c r="F30" s="5"/>
      <c r="G30" s="5"/>
      <c r="J30" s="54"/>
      <c r="K30" s="54"/>
      <c r="L30" s="55"/>
      <c r="M30" s="4"/>
      <c r="N30" s="4"/>
    </row>
    <row r="31" s="2" customFormat="1" ht="48" customHeight="1" spans="2:15">
      <c r="B31" s="4"/>
      <c r="C31" s="3"/>
      <c r="D31" s="5"/>
      <c r="E31" s="5"/>
      <c r="F31" s="5"/>
      <c r="G31" s="5"/>
      <c r="J31" s="4"/>
      <c r="L31" s="4"/>
      <c r="M31" s="4"/>
      <c r="N31" s="4"/>
      <c r="O31" s="4"/>
    </row>
    <row r="32" s="2" customFormat="1" ht="48" customHeight="1" spans="2:15">
      <c r="B32" s="4"/>
      <c r="C32" s="3"/>
      <c r="D32" s="5"/>
      <c r="E32" s="5"/>
      <c r="F32" s="5"/>
      <c r="G32" s="5"/>
      <c r="J32" s="4"/>
      <c r="L32" s="4"/>
      <c r="M32" s="4"/>
      <c r="N32" s="4"/>
      <c r="O32" s="4"/>
    </row>
    <row r="33" s="2" customFormat="1" ht="48" customHeight="1" spans="2:15">
      <c r="B33" s="4"/>
      <c r="C33" s="3"/>
      <c r="D33" s="5"/>
      <c r="E33" s="5"/>
      <c r="F33" s="5"/>
      <c r="G33" s="5"/>
      <c r="J33" s="4"/>
      <c r="L33" s="4"/>
      <c r="M33" s="4"/>
      <c r="N33" s="4"/>
      <c r="O33" s="4"/>
    </row>
    <row r="34" s="2" customFormat="1" ht="48" customHeight="1" spans="2:14">
      <c r="B34" s="4"/>
      <c r="C34" s="3"/>
      <c r="D34" s="5"/>
      <c r="E34" s="5"/>
      <c r="F34" s="5"/>
      <c r="G34" s="5"/>
      <c r="J34" s="54"/>
      <c r="K34" s="54"/>
      <c r="L34" s="55"/>
      <c r="M34" s="4"/>
      <c r="N34" s="4"/>
    </row>
    <row r="35" s="2" customFormat="1" ht="48" customHeight="1" spans="2:15">
      <c r="B35" s="4"/>
      <c r="C35" s="3"/>
      <c r="D35" s="5"/>
      <c r="E35" s="5"/>
      <c r="F35" s="5"/>
      <c r="G35" s="5"/>
      <c r="J35" s="4"/>
      <c r="L35" s="4"/>
      <c r="M35" s="4"/>
      <c r="N35" s="4"/>
      <c r="O35" s="4"/>
    </row>
    <row r="36" s="2" customFormat="1" ht="48" customHeight="1" spans="2:15">
      <c r="B36" s="4"/>
      <c r="C36" s="3"/>
      <c r="D36" s="5"/>
      <c r="E36" s="5"/>
      <c r="F36" s="5"/>
      <c r="G36" s="5"/>
      <c r="J36" s="4"/>
      <c r="K36" s="56"/>
      <c r="L36" s="4"/>
      <c r="M36" s="4"/>
      <c r="N36" s="4"/>
      <c r="O36" s="4"/>
    </row>
    <row r="37" s="2" customFormat="1" ht="48" customHeight="1" spans="2:15">
      <c r="B37" s="4"/>
      <c r="C37" s="3"/>
      <c r="D37" s="5"/>
      <c r="E37" s="5"/>
      <c r="F37" s="5"/>
      <c r="G37" s="5"/>
      <c r="J37" s="4"/>
      <c r="K37" s="56"/>
      <c r="L37" s="4"/>
      <c r="M37" s="4"/>
      <c r="N37" s="4"/>
      <c r="O37" s="4"/>
    </row>
    <row r="38" s="2" customFormat="1" ht="48" customHeight="1" spans="2:15">
      <c r="B38" s="4"/>
      <c r="C38" s="3"/>
      <c r="D38" s="5"/>
      <c r="E38" s="5"/>
      <c r="F38" s="5"/>
      <c r="G38" s="5"/>
      <c r="J38" s="4"/>
      <c r="L38" s="4"/>
      <c r="M38" s="4"/>
      <c r="N38" s="4"/>
      <c r="O38" s="4"/>
    </row>
    <row r="39" s="2" customFormat="1" ht="48" customHeight="1" spans="2:14">
      <c r="B39" s="4"/>
      <c r="C39" s="3"/>
      <c r="D39" s="5"/>
      <c r="E39" s="5"/>
      <c r="F39" s="5"/>
      <c r="G39" s="5"/>
      <c r="J39" s="4"/>
      <c r="K39" s="57"/>
      <c r="L39" s="4"/>
      <c r="M39" s="4"/>
      <c r="N39" s="4"/>
    </row>
    <row r="40" s="2" customFormat="1" ht="48" customHeight="1" spans="2:14">
      <c r="B40" s="4"/>
      <c r="C40" s="3"/>
      <c r="D40" s="5"/>
      <c r="E40" s="5"/>
      <c r="F40" s="5"/>
      <c r="G40" s="5"/>
      <c r="J40" s="4"/>
      <c r="K40" s="57"/>
      <c r="L40" s="4"/>
      <c r="M40" s="4"/>
      <c r="N40" s="58"/>
    </row>
    <row r="41" s="2" customFormat="1" ht="42" customHeight="1" spans="2:7">
      <c r="B41" s="4"/>
      <c r="C41" s="3"/>
      <c r="D41" s="5"/>
      <c r="E41" s="5"/>
      <c r="F41" s="5"/>
      <c r="G41" s="5"/>
    </row>
    <row r="42" s="2" customFormat="1" ht="42" customHeight="1" spans="2:7">
      <c r="B42" s="4"/>
      <c r="C42" s="3"/>
      <c r="D42" s="5"/>
      <c r="E42" s="5"/>
      <c r="F42" s="5"/>
      <c r="G42" s="5"/>
    </row>
    <row r="43" s="2" customFormat="1" ht="39.75" customHeight="1" spans="2:7">
      <c r="B43" s="4"/>
      <c r="C43" s="3"/>
      <c r="D43" s="5"/>
      <c r="E43" s="5"/>
      <c r="F43" s="5"/>
      <c r="G43" s="5"/>
    </row>
    <row r="44" s="2" customFormat="1" ht="33" customHeight="1" spans="2:7">
      <c r="B44" s="4"/>
      <c r="C44" s="3"/>
      <c r="D44" s="5"/>
      <c r="E44" s="5"/>
      <c r="F44" s="5"/>
      <c r="G44" s="5"/>
    </row>
    <row r="45" s="2" customFormat="1" ht="51" customHeight="1" spans="2:7">
      <c r="B45" s="4"/>
      <c r="C45" s="3"/>
      <c r="D45" s="5"/>
      <c r="E45" s="5"/>
      <c r="F45" s="5"/>
      <c r="G45" s="5"/>
    </row>
    <row r="46" s="2" customFormat="1" ht="40.5" customHeight="1" spans="2:7">
      <c r="B46" s="4"/>
      <c r="C46" s="3"/>
      <c r="D46" s="5"/>
      <c r="E46" s="5"/>
      <c r="F46" s="5"/>
      <c r="G46" s="5"/>
    </row>
    <row r="47" s="2" customFormat="1" ht="34.5" customHeight="1" spans="2:7">
      <c r="B47" s="4"/>
      <c r="C47" s="3"/>
      <c r="D47" s="5"/>
      <c r="E47" s="5"/>
      <c r="F47" s="5"/>
      <c r="G47" s="5"/>
    </row>
    <row r="48" s="2" customFormat="1" ht="34.5" customHeight="1" spans="2:7">
      <c r="B48" s="4"/>
      <c r="C48" s="3"/>
      <c r="D48" s="5"/>
      <c r="E48" s="5"/>
      <c r="F48" s="5"/>
      <c r="G48" s="5"/>
    </row>
    <row r="49" s="2" customFormat="1" ht="34.5" customHeight="1" spans="2:7">
      <c r="B49" s="4"/>
      <c r="C49" s="3"/>
      <c r="D49" s="5"/>
      <c r="E49" s="5"/>
      <c r="F49" s="5"/>
      <c r="G49" s="5"/>
    </row>
    <row r="50" s="2" customFormat="1" ht="31.5" customHeight="1" spans="2:7">
      <c r="B50" s="4"/>
      <c r="C50" s="3"/>
      <c r="D50" s="5"/>
      <c r="E50" s="5"/>
      <c r="F50" s="5"/>
      <c r="G50" s="5"/>
    </row>
    <row r="51" s="2" customFormat="1" ht="34.5" customHeight="1" spans="2:7">
      <c r="B51" s="4"/>
      <c r="C51" s="3"/>
      <c r="D51" s="5"/>
      <c r="E51" s="5"/>
      <c r="F51" s="5"/>
      <c r="G51" s="5"/>
    </row>
    <row r="52" s="2" customFormat="1" ht="42" customHeight="1" spans="2:7">
      <c r="B52" s="4"/>
      <c r="C52" s="3"/>
      <c r="D52" s="5"/>
      <c r="E52" s="5"/>
      <c r="F52" s="5"/>
      <c r="G52" s="5"/>
    </row>
    <row r="53" s="2" customFormat="1" ht="42" customHeight="1" spans="2:7">
      <c r="B53" s="4"/>
      <c r="C53" s="3"/>
      <c r="D53" s="5"/>
      <c r="E53" s="5"/>
      <c r="F53" s="5"/>
      <c r="G53" s="5"/>
    </row>
    <row r="54" s="2" customFormat="1" ht="42" customHeight="1" spans="2:7">
      <c r="B54" s="4"/>
      <c r="C54" s="3"/>
      <c r="D54" s="5"/>
      <c r="E54" s="5"/>
      <c r="F54" s="5"/>
      <c r="G54" s="5"/>
    </row>
    <row r="55" s="2" customFormat="1" ht="61.5" customHeight="1" spans="2:7">
      <c r="B55" s="4"/>
      <c r="C55" s="3"/>
      <c r="D55" s="5"/>
      <c r="E55" s="5"/>
      <c r="F55" s="5"/>
      <c r="G55" s="5"/>
    </row>
    <row r="56" s="2" customFormat="1" ht="42" customHeight="1" spans="2:7">
      <c r="B56" s="4"/>
      <c r="C56" s="3"/>
      <c r="D56" s="5"/>
      <c r="E56" s="5"/>
      <c r="F56" s="5"/>
      <c r="G56" s="5"/>
    </row>
    <row r="57" s="2" customFormat="1" ht="45" customHeight="1" spans="2:7">
      <c r="B57" s="4"/>
      <c r="C57" s="3"/>
      <c r="D57" s="5"/>
      <c r="E57" s="5"/>
      <c r="F57" s="5"/>
      <c r="G57" s="5"/>
    </row>
    <row r="58" s="2" customFormat="1" ht="37.5" customHeight="1" spans="2:7">
      <c r="B58" s="4"/>
      <c r="C58" s="3"/>
      <c r="D58" s="5"/>
      <c r="E58" s="5"/>
      <c r="F58" s="5"/>
      <c r="G58" s="5"/>
    </row>
    <row r="59" s="2" customFormat="1" ht="30" customHeight="1" spans="2:7">
      <c r="B59" s="4"/>
      <c r="C59" s="3"/>
      <c r="D59" s="5"/>
      <c r="E59" s="5"/>
      <c r="F59" s="5"/>
      <c r="G59" s="5"/>
    </row>
    <row r="60" s="2" customFormat="1" ht="39.75" customHeight="1" spans="2:7">
      <c r="B60" s="4"/>
      <c r="C60" s="3"/>
      <c r="D60" s="5"/>
      <c r="E60" s="5"/>
      <c r="F60" s="5"/>
      <c r="G60" s="5"/>
    </row>
    <row r="61" s="2" customFormat="1" ht="30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0" customHeight="1" spans="2:8">
      <c r="B63" s="4"/>
      <c r="C63" s="3"/>
      <c r="D63" s="5"/>
      <c r="E63" s="5"/>
      <c r="F63" s="5"/>
      <c r="G63" s="5"/>
      <c r="H63" s="3"/>
    </row>
    <row r="64" s="2" customFormat="1" ht="30" customHeight="1" spans="2:8">
      <c r="B64" s="4"/>
      <c r="C64" s="3"/>
      <c r="D64" s="5"/>
      <c r="E64" s="5"/>
      <c r="F64" s="5"/>
      <c r="G64" s="5"/>
      <c r="H64" s="3"/>
    </row>
    <row r="65" s="2" customFormat="1" ht="30" customHeight="1" spans="2:8">
      <c r="B65" s="4"/>
      <c r="C65" s="3"/>
      <c r="D65" s="5"/>
      <c r="E65" s="5"/>
      <c r="F65" s="5"/>
      <c r="G65" s="5"/>
      <c r="H65" s="3"/>
    </row>
    <row r="66" s="2" customFormat="1" ht="30" customHeight="1" spans="2:8">
      <c r="B66" s="4"/>
      <c r="C66" s="3"/>
      <c r="D66" s="5"/>
      <c r="E66" s="5"/>
      <c r="F66" s="5"/>
      <c r="G66" s="5"/>
      <c r="H66" s="3"/>
    </row>
    <row r="67" s="2" customFormat="1" ht="30" customHeight="1" spans="2:8">
      <c r="B67" s="4"/>
      <c r="C67" s="3"/>
      <c r="D67" s="5"/>
      <c r="E67" s="5"/>
      <c r="F67" s="5"/>
      <c r="G67" s="5"/>
      <c r="H67" s="3"/>
    </row>
    <row r="68" s="2" customFormat="1" ht="39.75" customHeight="1" spans="2:8">
      <c r="B68" s="4"/>
      <c r="C68" s="3"/>
      <c r="D68" s="5"/>
      <c r="E68" s="5"/>
      <c r="F68" s="5"/>
      <c r="G68" s="5"/>
      <c r="H68" s="3"/>
    </row>
    <row r="69" s="2" customFormat="1" ht="39.75" customHeight="1" spans="2:8">
      <c r="B69" s="4"/>
      <c r="C69" s="3"/>
      <c r="D69" s="5"/>
      <c r="E69" s="5"/>
      <c r="F69" s="5"/>
      <c r="G69" s="5"/>
      <c r="H69" s="3"/>
    </row>
    <row r="70" s="2" customFormat="1" ht="39.75" customHeight="1" spans="2:8">
      <c r="B70" s="4"/>
      <c r="C70" s="3"/>
      <c r="D70" s="5"/>
      <c r="E70" s="5"/>
      <c r="F70" s="5"/>
      <c r="G70" s="5"/>
      <c r="H70" s="3"/>
    </row>
    <row r="71" s="2" customFormat="1" ht="39.75" customHeight="1" spans="2:8">
      <c r="B71" s="4"/>
      <c r="C71" s="3"/>
      <c r="D71" s="5"/>
      <c r="E71" s="5"/>
      <c r="F71" s="5"/>
      <c r="G71" s="5"/>
      <c r="H71" s="3"/>
    </row>
    <row r="72" s="2" customFormat="1" ht="33.75" customHeight="1" spans="2:8">
      <c r="B72" s="4"/>
      <c r="C72" s="3"/>
      <c r="D72" s="5"/>
      <c r="E72" s="5"/>
      <c r="F72" s="5"/>
      <c r="G72" s="5"/>
      <c r="H72" s="3"/>
    </row>
    <row r="73" s="2" customFormat="1" ht="30" customHeight="1" spans="2:8">
      <c r="B73" s="4"/>
      <c r="C73" s="3"/>
      <c r="D73" s="5"/>
      <c r="E73" s="5"/>
      <c r="F73" s="5"/>
      <c r="G73" s="5"/>
      <c r="H73" s="3"/>
    </row>
    <row r="74" s="2" customFormat="1" ht="30" customHeight="1" spans="2:8">
      <c r="B74" s="4"/>
      <c r="C74" s="3"/>
      <c r="D74" s="5"/>
      <c r="E74" s="5"/>
      <c r="F74" s="5"/>
      <c r="G74" s="5"/>
      <c r="H74" s="3"/>
    </row>
    <row r="75" s="2" customFormat="1" ht="30" customHeight="1" spans="2:9">
      <c r="B75" s="4"/>
      <c r="C75" s="3"/>
      <c r="D75" s="5"/>
      <c r="E75" s="5"/>
      <c r="F75" s="5"/>
      <c r="G75" s="5"/>
      <c r="H75" s="3"/>
      <c r="I75" s="3"/>
    </row>
    <row r="76" s="2" customFormat="1" ht="30" customHeight="1" spans="2:9">
      <c r="B76" s="4"/>
      <c r="C76" s="3"/>
      <c r="D76" s="5"/>
      <c r="E76" s="5"/>
      <c r="F76" s="5"/>
      <c r="G76" s="5"/>
      <c r="H76" s="3"/>
      <c r="I76" s="3"/>
    </row>
    <row r="77" s="2" customFormat="1" ht="30" customHeight="1" spans="2:9">
      <c r="B77" s="4"/>
      <c r="C77" s="3"/>
      <c r="D77" s="5"/>
      <c r="E77" s="5"/>
      <c r="F77" s="5"/>
      <c r="G77" s="5"/>
      <c r="H77" s="3"/>
      <c r="I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0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1.5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2:9">
      <c r="B93" s="4"/>
      <c r="C93" s="3"/>
      <c r="D93" s="5"/>
      <c r="E93" s="5"/>
      <c r="F93" s="5"/>
      <c r="G93" s="5"/>
      <c r="H93" s="3"/>
      <c r="I93" s="3"/>
    </row>
    <row r="94" s="2" customFormat="1" ht="30" customHeight="1" spans="1:9">
      <c r="A94" s="3"/>
      <c r="B94" s="4"/>
      <c r="C94" s="3"/>
      <c r="D94" s="5"/>
      <c r="E94" s="5"/>
      <c r="F94" s="5"/>
      <c r="G94" s="5"/>
      <c r="H94" s="3"/>
      <c r="I94" s="3"/>
    </row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</sheetData>
  <autoFilter ref="A5:I104">
    <extLst/>
  </autoFilter>
  <mergeCells count="23">
    <mergeCell ref="B2:F2"/>
    <mergeCell ref="B4:F4"/>
    <mergeCell ref="J4:N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7:C17"/>
    <mergeCell ref="J17:K17"/>
    <mergeCell ref="B21:C21"/>
    <mergeCell ref="J21:K21"/>
    <mergeCell ref="J30:K30"/>
    <mergeCell ref="J34:K34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1"/>
  <sheetViews>
    <sheetView zoomScale="55" zoomScaleNormal="55" workbookViewId="0">
      <pane ySplit="5" topLeftCell="A26" activePane="bottomLeft" state="frozen"/>
      <selection/>
      <selection pane="bottomLeft" activeCell="H21" sqref="H21"/>
    </sheetView>
  </sheetViews>
  <sheetFormatPr defaultColWidth="8.88888888888889" defaultRowHeight="15.6"/>
  <cols>
    <col min="1" max="1" width="8.88888888888889" style="3"/>
    <col min="2" max="2" width="3.88888888888889" style="4" customWidth="1"/>
    <col min="3" max="3" width="64.2222222222222" style="3" customWidth="1"/>
    <col min="4" max="6" width="21.2222222222222" style="5" customWidth="1"/>
    <col min="7" max="7" width="15.6666666666667" style="5" customWidth="1"/>
    <col min="8" max="8" width="113.222222222222" style="3" customWidth="1"/>
    <col min="9" max="9" width="8.88888888888889" style="3"/>
    <col min="10" max="10" width="3.88888888888889" style="3" customWidth="1"/>
    <col min="11" max="11" width="85" style="3" customWidth="1"/>
    <col min="12" max="15" width="17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407</v>
      </c>
      <c r="C4" s="36"/>
      <c r="D4" s="36"/>
      <c r="E4" s="36"/>
      <c r="F4" s="36"/>
      <c r="G4" s="37"/>
      <c r="H4" s="38"/>
      <c r="J4" s="36" t="s">
        <v>408</v>
      </c>
      <c r="K4" s="36"/>
      <c r="L4" s="36"/>
      <c r="M4" s="36"/>
      <c r="N4" s="36"/>
      <c r="O4" s="38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13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377</v>
      </c>
      <c r="M6" s="30" t="s">
        <v>378</v>
      </c>
      <c r="N6" s="17" t="s">
        <v>277</v>
      </c>
      <c r="O6" s="30" t="s">
        <v>278</v>
      </c>
    </row>
    <row r="7" s="2" customFormat="1" ht="48" customHeight="1" spans="2:19">
      <c r="B7" s="19">
        <v>1</v>
      </c>
      <c r="C7" s="20" t="s">
        <v>295</v>
      </c>
      <c r="D7" s="19" t="s">
        <v>379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8" customHeight="1" spans="2:19">
      <c r="B8" s="19">
        <v>2</v>
      </c>
      <c r="C8" s="20" t="s">
        <v>247</v>
      </c>
      <c r="D8" s="19" t="s">
        <v>379</v>
      </c>
      <c r="E8" s="19">
        <v>10</v>
      </c>
      <c r="F8" s="21">
        <v>0</v>
      </c>
      <c r="G8" s="19">
        <v>0</v>
      </c>
      <c r="H8" s="23" t="s">
        <v>409</v>
      </c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8" customHeight="1" spans="2:19">
      <c r="B9" s="19">
        <v>3</v>
      </c>
      <c r="C9" s="41" t="s">
        <v>343</v>
      </c>
      <c r="D9" s="19" t="s">
        <v>379</v>
      </c>
      <c r="E9" s="19">
        <v>10</v>
      </c>
      <c r="F9" s="21">
        <v>0</v>
      </c>
      <c r="G9" s="19">
        <v>0</v>
      </c>
      <c r="H9" s="23" t="s">
        <v>410</v>
      </c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8" customHeight="1" spans="2:19">
      <c r="B10" s="19">
        <v>4</v>
      </c>
      <c r="C10" s="20" t="s">
        <v>315</v>
      </c>
      <c r="D10" s="19" t="s">
        <v>379</v>
      </c>
      <c r="E10" s="19">
        <v>10</v>
      </c>
      <c r="F10" s="21">
        <v>10</v>
      </c>
      <c r="G10" s="19">
        <v>10</v>
      </c>
      <c r="H10" s="20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8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3"/>
    </row>
    <row r="12" s="2" customFormat="1" ht="48" customHeight="1" spans="2:15">
      <c r="B12" s="19">
        <v>5</v>
      </c>
      <c r="C12" s="20" t="s">
        <v>317</v>
      </c>
      <c r="D12" s="19" t="s">
        <v>379</v>
      </c>
      <c r="E12" s="19">
        <v>10</v>
      </c>
      <c r="F12" s="21">
        <v>0</v>
      </c>
      <c r="G12" s="19">
        <v>0</v>
      </c>
      <c r="H12" s="20" t="s">
        <v>410</v>
      </c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8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3"/>
    </row>
    <row r="14" s="2" customFormat="1" ht="48" customHeight="1" spans="2:15">
      <c r="B14" s="19">
        <v>6</v>
      </c>
      <c r="C14" s="20" t="s">
        <v>253</v>
      </c>
      <c r="D14" s="19" t="s">
        <v>379</v>
      </c>
      <c r="E14" s="19">
        <v>10</v>
      </c>
      <c r="F14" s="21">
        <v>0</v>
      </c>
      <c r="G14" s="19">
        <v>0</v>
      </c>
      <c r="H14" s="20" t="s">
        <v>411</v>
      </c>
      <c r="J14" s="19">
        <v>6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8" customHeight="1" spans="2:15">
      <c r="B15" s="30" t="s">
        <v>346</v>
      </c>
      <c r="C15" s="30"/>
      <c r="D15" s="42"/>
      <c r="E15" s="42"/>
      <c r="F15" s="42"/>
      <c r="G15" s="42"/>
      <c r="H15" s="43"/>
      <c r="J15" s="30" t="s">
        <v>346</v>
      </c>
      <c r="K15" s="30"/>
      <c r="L15" s="42"/>
      <c r="M15" s="42"/>
      <c r="N15" s="42"/>
      <c r="O15" s="43"/>
    </row>
    <row r="16" s="2" customFormat="1" ht="48" customHeight="1" spans="2:15">
      <c r="B16" s="44">
        <v>7</v>
      </c>
      <c r="C16" s="20" t="s">
        <v>381</v>
      </c>
      <c r="D16" s="19" t="s">
        <v>379</v>
      </c>
      <c r="E16" s="19">
        <v>15</v>
      </c>
      <c r="F16" s="21">
        <v>15</v>
      </c>
      <c r="G16" s="19">
        <v>15</v>
      </c>
      <c r="H16" s="23"/>
      <c r="J16" s="44">
        <v>7</v>
      </c>
      <c r="K16" s="20" t="s">
        <v>381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8" customHeight="1" spans="2:15">
      <c r="B17" s="19">
        <v>8</v>
      </c>
      <c r="C17" s="20" t="s">
        <v>369</v>
      </c>
      <c r="D17" s="19" t="s">
        <v>379</v>
      </c>
      <c r="E17" s="19">
        <v>10</v>
      </c>
      <c r="F17" s="21">
        <v>0</v>
      </c>
      <c r="G17" s="19">
        <v>0</v>
      </c>
      <c r="H17" s="23" t="s">
        <v>412</v>
      </c>
      <c r="J17" s="19">
        <v>8</v>
      </c>
      <c r="K17" s="20" t="s">
        <v>369</v>
      </c>
      <c r="L17" s="19" t="s">
        <v>205</v>
      </c>
      <c r="M17" s="19" t="s">
        <v>209</v>
      </c>
      <c r="N17" s="19" t="s">
        <v>210</v>
      </c>
      <c r="O17" s="19" t="s">
        <v>211</v>
      </c>
    </row>
    <row r="18" s="2" customFormat="1" ht="48" customHeight="1" spans="2:15">
      <c r="B18" s="30" t="s">
        <v>320</v>
      </c>
      <c r="C18" s="30"/>
      <c r="D18" s="42"/>
      <c r="E18" s="42"/>
      <c r="F18" s="42"/>
      <c r="G18" s="42"/>
      <c r="H18" s="43"/>
      <c r="J18" s="30" t="s">
        <v>320</v>
      </c>
      <c r="K18" s="30"/>
      <c r="L18" s="42"/>
      <c r="M18" s="42"/>
      <c r="N18" s="42"/>
      <c r="O18" s="43"/>
    </row>
    <row r="19" s="2" customFormat="1" ht="48" customHeight="1" spans="2:15">
      <c r="B19" s="19">
        <v>9</v>
      </c>
      <c r="C19" s="20" t="s">
        <v>260</v>
      </c>
      <c r="D19" s="19" t="s">
        <v>379</v>
      </c>
      <c r="E19" s="19">
        <v>15</v>
      </c>
      <c r="F19" s="21">
        <v>0</v>
      </c>
      <c r="G19" s="19">
        <v>0</v>
      </c>
      <c r="H19" s="23" t="s">
        <v>413</v>
      </c>
      <c r="J19" s="19">
        <v>9</v>
      </c>
      <c r="K19" s="20" t="s">
        <v>260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8" customHeight="1" spans="2:15">
      <c r="B20" s="30" t="s">
        <v>120</v>
      </c>
      <c r="C20" s="30"/>
      <c r="D20" s="42"/>
      <c r="E20" s="42"/>
      <c r="F20" s="42"/>
      <c r="G20" s="42"/>
      <c r="H20" s="43"/>
      <c r="J20" s="30" t="s">
        <v>120</v>
      </c>
      <c r="K20" s="30"/>
      <c r="L20" s="42"/>
      <c r="M20" s="42"/>
      <c r="N20" s="42"/>
      <c r="O20" s="43"/>
    </row>
    <row r="21" s="2" customFormat="1" ht="48" customHeight="1" spans="2:15">
      <c r="B21" s="19">
        <v>10</v>
      </c>
      <c r="C21" s="20" t="s">
        <v>262</v>
      </c>
      <c r="D21" s="19" t="s">
        <v>379</v>
      </c>
      <c r="E21" s="19">
        <v>20</v>
      </c>
      <c r="F21" s="21">
        <v>20</v>
      </c>
      <c r="G21" s="19">
        <v>20</v>
      </c>
      <c r="H21" s="20"/>
      <c r="J21" s="19">
        <v>10</v>
      </c>
      <c r="K21" s="20" t="s">
        <v>262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8" customHeight="1" spans="2:15">
      <c r="B22" s="19">
        <v>11</v>
      </c>
      <c r="C22" s="20" t="s">
        <v>351</v>
      </c>
      <c r="D22" s="19" t="s">
        <v>379</v>
      </c>
      <c r="E22" s="19">
        <v>15</v>
      </c>
      <c r="F22" s="21">
        <v>0</v>
      </c>
      <c r="G22" s="19">
        <v>15</v>
      </c>
      <c r="H22" s="20" t="s">
        <v>414</v>
      </c>
      <c r="J22" s="19">
        <v>11</v>
      </c>
      <c r="K22" s="20" t="s">
        <v>351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8" customHeight="1" spans="2:15">
      <c r="B23" s="19">
        <v>12</v>
      </c>
      <c r="C23" s="20" t="s">
        <v>415</v>
      </c>
      <c r="D23" s="19" t="s">
        <v>379</v>
      </c>
      <c r="E23" s="19">
        <v>15</v>
      </c>
      <c r="F23" s="21">
        <v>15</v>
      </c>
      <c r="G23" s="19">
        <v>15</v>
      </c>
      <c r="H23" s="23"/>
      <c r="J23" s="19">
        <v>12</v>
      </c>
      <c r="K23" s="20" t="s">
        <v>415</v>
      </c>
      <c r="L23" s="19" t="s">
        <v>205</v>
      </c>
      <c r="M23" s="19" t="s">
        <v>209</v>
      </c>
      <c r="N23" s="19" t="s">
        <v>210</v>
      </c>
      <c r="O23" s="19" t="s">
        <v>211</v>
      </c>
    </row>
    <row r="24" s="2" customFormat="1" ht="48" customHeight="1" spans="2:15">
      <c r="B24" s="19">
        <v>13</v>
      </c>
      <c r="C24" s="20" t="s">
        <v>416</v>
      </c>
      <c r="D24" s="19" t="s">
        <v>379</v>
      </c>
      <c r="E24" s="19">
        <v>5</v>
      </c>
      <c r="F24" s="21">
        <v>5</v>
      </c>
      <c r="G24" s="19">
        <v>5</v>
      </c>
      <c r="H24" s="23"/>
      <c r="J24" s="19">
        <v>13</v>
      </c>
      <c r="K24" s="20" t="s">
        <v>416</v>
      </c>
      <c r="L24" s="19" t="s">
        <v>205</v>
      </c>
      <c r="M24" s="19" t="s">
        <v>209</v>
      </c>
      <c r="N24" s="19" t="s">
        <v>210</v>
      </c>
      <c r="O24" s="19" t="s">
        <v>211</v>
      </c>
    </row>
    <row r="25" s="2" customFormat="1" ht="48" customHeight="1" spans="2:15">
      <c r="B25" s="19">
        <v>14</v>
      </c>
      <c r="C25" s="48" t="s">
        <v>417</v>
      </c>
      <c r="D25" s="44" t="s">
        <v>379</v>
      </c>
      <c r="E25" s="19">
        <v>5</v>
      </c>
      <c r="F25" s="21">
        <v>0</v>
      </c>
      <c r="G25" s="19">
        <v>0</v>
      </c>
      <c r="H25" s="23" t="s">
        <v>418</v>
      </c>
      <c r="J25" s="19">
        <v>14</v>
      </c>
      <c r="K25" s="48" t="s">
        <v>417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48" customHeight="1" spans="2:15">
      <c r="B26" s="30" t="s">
        <v>327</v>
      </c>
      <c r="C26" s="30"/>
      <c r="D26" s="45"/>
      <c r="E26" s="42"/>
      <c r="F26" s="42"/>
      <c r="G26" s="42"/>
      <c r="H26" s="43"/>
      <c r="J26" s="30" t="s">
        <v>327</v>
      </c>
      <c r="K26" s="30"/>
      <c r="L26" s="42"/>
      <c r="M26" s="42"/>
      <c r="N26" s="42"/>
      <c r="O26" s="43"/>
    </row>
    <row r="27" s="2" customFormat="1" ht="48" customHeight="1" spans="2:15">
      <c r="B27" s="19">
        <v>15</v>
      </c>
      <c r="C27" s="23" t="s">
        <v>352</v>
      </c>
      <c r="D27" s="19" t="s">
        <v>379</v>
      </c>
      <c r="E27" s="19">
        <v>5</v>
      </c>
      <c r="F27" s="21">
        <v>5</v>
      </c>
      <c r="G27" s="19">
        <v>5</v>
      </c>
      <c r="H27" s="20"/>
      <c r="J27" s="19">
        <v>15</v>
      </c>
      <c r="K27" s="23" t="s">
        <v>352</v>
      </c>
      <c r="L27" s="19" t="s">
        <v>205</v>
      </c>
      <c r="M27" s="19" t="s">
        <v>209</v>
      </c>
      <c r="N27" s="19" t="s">
        <v>210</v>
      </c>
      <c r="O27" s="19" t="s">
        <v>211</v>
      </c>
    </row>
    <row r="28" s="2" customFormat="1" ht="48" customHeight="1" spans="2:15">
      <c r="B28" s="19">
        <v>16</v>
      </c>
      <c r="C28" s="23" t="s">
        <v>353</v>
      </c>
      <c r="D28" s="46" t="s">
        <v>379</v>
      </c>
      <c r="E28" s="19">
        <v>5</v>
      </c>
      <c r="F28" s="21">
        <v>5</v>
      </c>
      <c r="G28" s="19">
        <v>5</v>
      </c>
      <c r="H28" s="23"/>
      <c r="J28" s="19">
        <v>16</v>
      </c>
      <c r="K28" s="23" t="s">
        <v>353</v>
      </c>
      <c r="L28" s="19" t="s">
        <v>205</v>
      </c>
      <c r="M28" s="19" t="s">
        <v>209</v>
      </c>
      <c r="N28" s="19" t="s">
        <v>210</v>
      </c>
      <c r="O28" s="19" t="s">
        <v>211</v>
      </c>
    </row>
    <row r="29" s="2" customFormat="1" ht="48" customHeight="1" spans="2:15">
      <c r="B29" s="19">
        <v>17</v>
      </c>
      <c r="C29" s="23" t="s">
        <v>329</v>
      </c>
      <c r="D29" s="19" t="s">
        <v>379</v>
      </c>
      <c r="E29" s="19">
        <v>5</v>
      </c>
      <c r="F29" s="21">
        <v>5</v>
      </c>
      <c r="G29" s="19">
        <v>5</v>
      </c>
      <c r="H29" s="20"/>
      <c r="J29" s="19">
        <v>17</v>
      </c>
      <c r="K29" s="23" t="s">
        <v>329</v>
      </c>
      <c r="L29" s="19" t="s">
        <v>205</v>
      </c>
      <c r="M29" s="19" t="s">
        <v>209</v>
      </c>
      <c r="N29" s="19" t="s">
        <v>210</v>
      </c>
      <c r="O29" s="19" t="s">
        <v>211</v>
      </c>
    </row>
    <row r="30" s="2" customFormat="1" ht="48" customHeight="1" spans="2:15">
      <c r="B30" s="19">
        <v>18</v>
      </c>
      <c r="C30" s="23" t="s">
        <v>330</v>
      </c>
      <c r="D30" s="19" t="s">
        <v>379</v>
      </c>
      <c r="E30" s="19">
        <v>5</v>
      </c>
      <c r="F30" s="21">
        <v>5</v>
      </c>
      <c r="G30" s="19">
        <v>5</v>
      </c>
      <c r="H30" s="20"/>
      <c r="J30" s="19">
        <v>18</v>
      </c>
      <c r="K30" s="23" t="s">
        <v>330</v>
      </c>
      <c r="L30" s="19" t="s">
        <v>205</v>
      </c>
      <c r="M30" s="19" t="s">
        <v>209</v>
      </c>
      <c r="N30" s="19" t="s">
        <v>210</v>
      </c>
      <c r="O30" s="19" t="s">
        <v>211</v>
      </c>
    </row>
    <row r="31" s="2" customFormat="1" ht="48" customHeight="1" spans="2:15">
      <c r="B31" s="30" t="s">
        <v>305</v>
      </c>
      <c r="C31" s="30"/>
      <c r="D31" s="45"/>
      <c r="E31" s="42"/>
      <c r="F31" s="42"/>
      <c r="G31" s="42"/>
      <c r="H31" s="43"/>
      <c r="J31" s="30" t="s">
        <v>305</v>
      </c>
      <c r="K31" s="30"/>
      <c r="L31" s="42"/>
      <c r="M31" s="42"/>
      <c r="N31" s="42"/>
      <c r="O31" s="43"/>
    </row>
    <row r="32" s="2" customFormat="1" ht="48" customHeight="1" spans="2:15">
      <c r="B32" s="19">
        <v>19</v>
      </c>
      <c r="C32" s="48" t="s">
        <v>374</v>
      </c>
      <c r="D32" s="19" t="s">
        <v>379</v>
      </c>
      <c r="E32" s="19">
        <v>5</v>
      </c>
      <c r="F32" s="21">
        <v>5</v>
      </c>
      <c r="G32" s="19">
        <v>5</v>
      </c>
      <c r="H32" s="20"/>
      <c r="J32" s="19">
        <v>19</v>
      </c>
      <c r="K32" s="48" t="s">
        <v>374</v>
      </c>
      <c r="L32" s="19" t="s">
        <v>205</v>
      </c>
      <c r="M32" s="19" t="s">
        <v>209</v>
      </c>
      <c r="N32" s="19" t="s">
        <v>210</v>
      </c>
      <c r="O32" s="19" t="s">
        <v>211</v>
      </c>
    </row>
    <row r="33" s="2" customFormat="1" ht="48" customHeight="1" spans="2:15">
      <c r="B33" s="19">
        <v>20</v>
      </c>
      <c r="C33" s="48" t="s">
        <v>356</v>
      </c>
      <c r="D33" s="19" t="s">
        <v>379</v>
      </c>
      <c r="E33" s="19">
        <v>10</v>
      </c>
      <c r="F33" s="21">
        <v>10</v>
      </c>
      <c r="G33" s="19">
        <v>10</v>
      </c>
      <c r="H33" s="23"/>
      <c r="J33" s="19">
        <v>20</v>
      </c>
      <c r="K33" s="48" t="s">
        <v>356</v>
      </c>
      <c r="L33" s="19" t="s">
        <v>205</v>
      </c>
      <c r="M33" s="19" t="s">
        <v>209</v>
      </c>
      <c r="N33" s="19" t="s">
        <v>210</v>
      </c>
      <c r="O33" s="19" t="s">
        <v>211</v>
      </c>
    </row>
    <row r="34" s="2" customFormat="1" ht="48" customHeight="1" spans="2:15">
      <c r="B34" s="19">
        <v>21</v>
      </c>
      <c r="C34" s="23" t="s">
        <v>306</v>
      </c>
      <c r="D34" s="19" t="s">
        <v>379</v>
      </c>
      <c r="E34" s="19">
        <v>5</v>
      </c>
      <c r="F34" s="21">
        <v>5</v>
      </c>
      <c r="G34" s="19">
        <v>5</v>
      </c>
      <c r="H34" s="20"/>
      <c r="J34" s="50">
        <v>21</v>
      </c>
      <c r="K34" s="51" t="s">
        <v>306</v>
      </c>
      <c r="L34" s="50" t="s">
        <v>205</v>
      </c>
      <c r="M34" s="50" t="s">
        <v>209</v>
      </c>
      <c r="N34" s="50" t="s">
        <v>210</v>
      </c>
      <c r="O34" s="50" t="s">
        <v>211</v>
      </c>
    </row>
    <row r="35" s="2" customFormat="1" ht="48" customHeight="1" spans="2:15">
      <c r="B35" s="19"/>
      <c r="C35" s="49" t="s">
        <v>270</v>
      </c>
      <c r="D35" s="19"/>
      <c r="E35" s="19">
        <f>SUM(E7:E34)</f>
        <v>210</v>
      </c>
      <c r="F35" s="19">
        <f>SUM(F7:F34)</f>
        <v>125</v>
      </c>
      <c r="G35" s="19">
        <f>SUM(G7:G34)</f>
        <v>140</v>
      </c>
      <c r="H35" s="23"/>
      <c r="J35" s="52"/>
      <c r="K35" s="90"/>
      <c r="L35" s="52"/>
      <c r="M35" s="52"/>
      <c r="N35" s="52"/>
      <c r="O35" s="52"/>
    </row>
    <row r="36" s="2" customFormat="1" ht="48" customHeight="1" spans="2:15">
      <c r="B36" s="19"/>
      <c r="C36" s="49" t="s">
        <v>271</v>
      </c>
      <c r="D36" s="19"/>
      <c r="E36" s="19">
        <f>(E35/E35)*100</f>
        <v>100</v>
      </c>
      <c r="F36" s="26">
        <f>+F35/E35*100</f>
        <v>59.5238095238095</v>
      </c>
      <c r="G36" s="27">
        <f>+G35/E35*100</f>
        <v>66.6666666666667</v>
      </c>
      <c r="H36" s="23"/>
      <c r="J36" s="4"/>
      <c r="K36" s="56"/>
      <c r="L36" s="4"/>
      <c r="M36" s="4"/>
      <c r="N36" s="4"/>
      <c r="O36" s="4"/>
    </row>
    <row r="37" s="2" customFormat="1" ht="48" customHeight="1" spans="2:15">
      <c r="B37" s="4"/>
      <c r="C37" s="3"/>
      <c r="D37" s="5"/>
      <c r="E37" s="5"/>
      <c r="F37" s="5"/>
      <c r="G37" s="5"/>
      <c r="J37" s="4"/>
      <c r="L37" s="4"/>
      <c r="M37" s="4"/>
      <c r="N37" s="4"/>
      <c r="O37" s="4"/>
    </row>
    <row r="38" s="2" customFormat="1" ht="48" customHeight="1" spans="2:14">
      <c r="B38" s="4"/>
      <c r="C38" s="3"/>
      <c r="D38" s="5"/>
      <c r="E38" s="5"/>
      <c r="F38" s="5"/>
      <c r="G38" s="5"/>
      <c r="J38" s="4"/>
      <c r="K38" s="57"/>
      <c r="L38" s="4"/>
      <c r="M38" s="4"/>
      <c r="N38" s="4"/>
    </row>
    <row r="39" s="2" customFormat="1" ht="48" customHeight="1" spans="2:14">
      <c r="B39" s="4"/>
      <c r="C39" s="3"/>
      <c r="D39" s="5"/>
      <c r="E39" s="5"/>
      <c r="F39" s="5"/>
      <c r="G39" s="5"/>
      <c r="J39" s="4"/>
      <c r="K39" s="57"/>
      <c r="L39" s="4"/>
      <c r="M39" s="4"/>
      <c r="N39" s="58"/>
    </row>
    <row r="40" s="2" customFormat="1" ht="42" customHeight="1" spans="2:7">
      <c r="B40" s="4"/>
      <c r="C40" s="3"/>
      <c r="D40" s="5"/>
      <c r="E40" s="5"/>
      <c r="F40" s="5"/>
      <c r="G40" s="5"/>
    </row>
    <row r="41" s="2" customFormat="1" ht="42" customHeight="1" spans="2:7">
      <c r="B41" s="4"/>
      <c r="C41" s="3"/>
      <c r="D41" s="5"/>
      <c r="E41" s="5"/>
      <c r="F41" s="5"/>
      <c r="G41" s="5"/>
    </row>
    <row r="42" s="2" customFormat="1" ht="39.75" customHeight="1" spans="2:7">
      <c r="B42" s="4"/>
      <c r="C42" s="3"/>
      <c r="D42" s="5"/>
      <c r="E42" s="5"/>
      <c r="F42" s="5"/>
      <c r="G42" s="5"/>
    </row>
    <row r="43" s="2" customFormat="1" ht="33" customHeight="1" spans="2:7">
      <c r="B43" s="4"/>
      <c r="C43" s="3"/>
      <c r="D43" s="5"/>
      <c r="E43" s="5"/>
      <c r="F43" s="5"/>
      <c r="G43" s="5"/>
    </row>
    <row r="44" s="2" customFormat="1" ht="51" customHeight="1" spans="2:7">
      <c r="B44" s="4"/>
      <c r="C44" s="3"/>
      <c r="D44" s="5"/>
      <c r="E44" s="5"/>
      <c r="F44" s="5"/>
      <c r="G44" s="5"/>
    </row>
    <row r="45" s="2" customFormat="1" ht="40.5" customHeight="1" spans="2:7">
      <c r="B45" s="4"/>
      <c r="C45" s="3"/>
      <c r="D45" s="5"/>
      <c r="E45" s="5"/>
      <c r="F45" s="5"/>
      <c r="G45" s="5"/>
    </row>
    <row r="46" s="2" customFormat="1" ht="34.5" customHeight="1" spans="2:7">
      <c r="B46" s="4"/>
      <c r="C46" s="3"/>
      <c r="D46" s="5"/>
      <c r="E46" s="5"/>
      <c r="F46" s="5"/>
      <c r="G46" s="5"/>
    </row>
    <row r="47" s="2" customFormat="1" ht="34.5" customHeight="1" spans="2:7">
      <c r="B47" s="4"/>
      <c r="C47" s="3"/>
      <c r="D47" s="5"/>
      <c r="E47" s="5"/>
      <c r="F47" s="5"/>
      <c r="G47" s="5"/>
    </row>
    <row r="48" s="2" customFormat="1" ht="34.5" customHeight="1" spans="2:7">
      <c r="B48" s="4"/>
      <c r="C48" s="3"/>
      <c r="D48" s="5"/>
      <c r="E48" s="5"/>
      <c r="F48" s="5"/>
      <c r="G48" s="5"/>
    </row>
    <row r="49" s="2" customFormat="1" ht="31.5" customHeight="1" spans="2:7">
      <c r="B49" s="4"/>
      <c r="C49" s="3"/>
      <c r="D49" s="5"/>
      <c r="E49" s="5"/>
      <c r="F49" s="5"/>
      <c r="G49" s="5"/>
    </row>
    <row r="50" s="2" customFormat="1" ht="34.5" customHeight="1" spans="2:7">
      <c r="B50" s="4"/>
      <c r="C50" s="3"/>
      <c r="D50" s="5"/>
      <c r="E50" s="5"/>
      <c r="F50" s="5"/>
      <c r="G50" s="5"/>
    </row>
    <row r="51" s="2" customFormat="1" ht="42" customHeight="1" spans="2:7">
      <c r="B51" s="4"/>
      <c r="C51" s="3"/>
      <c r="D51" s="5"/>
      <c r="E51" s="5"/>
      <c r="F51" s="5"/>
      <c r="G51" s="5"/>
    </row>
    <row r="52" s="2" customFormat="1" ht="42" customHeight="1" spans="2:7">
      <c r="B52" s="4"/>
      <c r="C52" s="3"/>
      <c r="D52" s="5"/>
      <c r="E52" s="5"/>
      <c r="F52" s="5"/>
      <c r="G52" s="5"/>
    </row>
    <row r="53" s="2" customFormat="1" ht="42" customHeight="1" spans="2:7">
      <c r="B53" s="4"/>
      <c r="C53" s="3"/>
      <c r="D53" s="5"/>
      <c r="E53" s="5"/>
      <c r="F53" s="5"/>
      <c r="G53" s="5"/>
    </row>
    <row r="54" s="2" customFormat="1" ht="61.5" customHeight="1" spans="2:7">
      <c r="B54" s="4"/>
      <c r="C54" s="3"/>
      <c r="D54" s="5"/>
      <c r="E54" s="5"/>
      <c r="F54" s="5"/>
      <c r="G54" s="5"/>
    </row>
    <row r="55" s="2" customFormat="1" ht="42" customHeight="1" spans="2:7">
      <c r="B55" s="4"/>
      <c r="C55" s="3"/>
      <c r="D55" s="5"/>
      <c r="E55" s="5"/>
      <c r="F55" s="5"/>
      <c r="G55" s="5"/>
    </row>
    <row r="56" s="2" customFormat="1" ht="45" customHeight="1" spans="2:7">
      <c r="B56" s="4"/>
      <c r="C56" s="3"/>
      <c r="D56" s="5"/>
      <c r="E56" s="5"/>
      <c r="F56" s="5"/>
      <c r="G56" s="5"/>
    </row>
    <row r="57" s="2" customFormat="1" ht="37.5" customHeight="1" spans="2:7">
      <c r="B57" s="4"/>
      <c r="C57" s="3"/>
      <c r="D57" s="5"/>
      <c r="E57" s="5"/>
      <c r="F57" s="5"/>
      <c r="G57" s="5"/>
    </row>
    <row r="58" s="2" customFormat="1" ht="30" customHeight="1" spans="2:7">
      <c r="B58" s="4"/>
      <c r="C58" s="3"/>
      <c r="D58" s="5"/>
      <c r="E58" s="5"/>
      <c r="F58" s="5"/>
      <c r="G58" s="5"/>
    </row>
    <row r="59" s="2" customFormat="1" ht="39.75" customHeight="1" spans="2:7">
      <c r="B59" s="4"/>
      <c r="C59" s="3"/>
      <c r="D59" s="5"/>
      <c r="E59" s="5"/>
      <c r="F59" s="5"/>
      <c r="G59" s="5"/>
    </row>
    <row r="60" s="2" customFormat="1" ht="30" customHeight="1" spans="2:7">
      <c r="B60" s="4"/>
      <c r="C60" s="3"/>
      <c r="D60" s="5"/>
      <c r="E60" s="5"/>
      <c r="F60" s="5"/>
      <c r="G60" s="5"/>
    </row>
    <row r="61" s="2" customFormat="1" ht="30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0" customHeight="1" spans="2:7">
      <c r="B63" s="4"/>
      <c r="C63" s="3"/>
      <c r="D63" s="5"/>
      <c r="E63" s="5"/>
      <c r="F63" s="5"/>
      <c r="G63" s="5"/>
    </row>
    <row r="64" s="2" customFormat="1" ht="30" customHeight="1" spans="2:7">
      <c r="B64" s="4"/>
      <c r="C64" s="3"/>
      <c r="D64" s="5"/>
      <c r="E64" s="5"/>
      <c r="F64" s="5"/>
      <c r="G64" s="5"/>
    </row>
    <row r="65" s="2" customFormat="1" ht="30" customHeight="1" spans="2:7">
      <c r="B65" s="4"/>
      <c r="C65" s="3"/>
      <c r="D65" s="5"/>
      <c r="E65" s="5"/>
      <c r="F65" s="5"/>
      <c r="G65" s="5"/>
    </row>
    <row r="66" s="2" customFormat="1" ht="30" customHeight="1" spans="2:7">
      <c r="B66" s="4"/>
      <c r="C66" s="3"/>
      <c r="D66" s="5"/>
      <c r="E66" s="5"/>
      <c r="F66" s="5"/>
      <c r="G66" s="5"/>
    </row>
    <row r="67" s="2" customFormat="1" ht="39.75" customHeight="1" spans="2:7">
      <c r="B67" s="4"/>
      <c r="C67" s="3"/>
      <c r="D67" s="5"/>
      <c r="E67" s="5"/>
      <c r="F67" s="5"/>
      <c r="G67" s="5"/>
    </row>
    <row r="68" s="2" customFormat="1" ht="39.75" customHeight="1" spans="2:7">
      <c r="B68" s="4"/>
      <c r="C68" s="3"/>
      <c r="D68" s="5"/>
      <c r="E68" s="5"/>
      <c r="F68" s="5"/>
      <c r="G68" s="5"/>
    </row>
    <row r="69" s="2" customFormat="1" ht="39.75" customHeight="1" spans="2:7">
      <c r="B69" s="4"/>
      <c r="C69" s="3"/>
      <c r="D69" s="5"/>
      <c r="E69" s="5"/>
      <c r="F69" s="5"/>
      <c r="G69" s="5"/>
    </row>
    <row r="70" s="2" customFormat="1" ht="39.75" customHeight="1" spans="2:7">
      <c r="B70" s="4"/>
      <c r="C70" s="3"/>
      <c r="D70" s="5"/>
      <c r="E70" s="5"/>
      <c r="F70" s="5"/>
      <c r="G70" s="5"/>
    </row>
    <row r="71" s="2" customFormat="1" ht="33.75" customHeight="1" spans="2:7">
      <c r="B71" s="4"/>
      <c r="C71" s="3"/>
      <c r="D71" s="5"/>
      <c r="E71" s="5"/>
      <c r="F71" s="5"/>
      <c r="G71" s="5"/>
    </row>
    <row r="72" s="2" customFormat="1" ht="30" customHeight="1" spans="2:8">
      <c r="B72" s="4"/>
      <c r="C72" s="3"/>
      <c r="D72" s="5"/>
      <c r="E72" s="5"/>
      <c r="F72" s="5"/>
      <c r="G72" s="5"/>
      <c r="H72" s="3"/>
    </row>
    <row r="73" s="2" customFormat="1" ht="30" customHeight="1" spans="2:8">
      <c r="B73" s="4"/>
      <c r="C73" s="3"/>
      <c r="D73" s="5"/>
      <c r="E73" s="5"/>
      <c r="F73" s="5"/>
      <c r="G73" s="5"/>
      <c r="H73" s="3"/>
    </row>
    <row r="74" s="2" customFormat="1" ht="30" customHeight="1" spans="2:9">
      <c r="B74" s="4"/>
      <c r="C74" s="3"/>
      <c r="D74" s="5"/>
      <c r="E74" s="5"/>
      <c r="F74" s="5"/>
      <c r="G74" s="5"/>
      <c r="H74" s="3"/>
      <c r="I74" s="3"/>
    </row>
    <row r="75" s="2" customFormat="1" ht="30" customHeight="1" spans="2:9">
      <c r="B75" s="4"/>
      <c r="C75" s="3"/>
      <c r="D75" s="5"/>
      <c r="E75" s="5"/>
      <c r="F75" s="5"/>
      <c r="G75" s="5"/>
      <c r="H75" s="3"/>
      <c r="I75" s="3"/>
    </row>
    <row r="76" s="2" customFormat="1" ht="30" customHeight="1" spans="2:9">
      <c r="B76" s="4"/>
      <c r="C76" s="3"/>
      <c r="D76" s="5"/>
      <c r="E76" s="5"/>
      <c r="F76" s="5"/>
      <c r="G76" s="5"/>
      <c r="H76" s="3"/>
      <c r="I76" s="3"/>
    </row>
    <row r="77" s="2" customFormat="1" ht="30" customHeight="1" spans="2:9">
      <c r="B77" s="4"/>
      <c r="C77" s="3"/>
      <c r="D77" s="5"/>
      <c r="E77" s="5"/>
      <c r="F77" s="5"/>
      <c r="G77" s="5"/>
      <c r="H77" s="3"/>
      <c r="I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1.5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0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1:9">
      <c r="A93" s="3"/>
      <c r="B93" s="4"/>
      <c r="C93" s="3"/>
      <c r="D93" s="5"/>
      <c r="E93" s="5"/>
      <c r="F93" s="5"/>
      <c r="G93" s="5"/>
      <c r="H93" s="3"/>
      <c r="I93" s="3"/>
    </row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autoFilter ref="A5:I102">
    <extLst/>
  </autoFilter>
  <mergeCells count="25">
    <mergeCell ref="B2:F2"/>
    <mergeCell ref="B4:F4"/>
    <mergeCell ref="J4:N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8:C18"/>
    <mergeCell ref="J18:K18"/>
    <mergeCell ref="B20:C20"/>
    <mergeCell ref="J20:K20"/>
    <mergeCell ref="B26:C26"/>
    <mergeCell ref="J26:K26"/>
    <mergeCell ref="B31:C31"/>
    <mergeCell ref="J31:K31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R103"/>
  <sheetViews>
    <sheetView zoomScale="80" zoomScaleNormal="80" workbookViewId="0">
      <pane ySplit="5" topLeftCell="A27" activePane="bottomLeft" state="frozen"/>
      <selection/>
      <selection pane="bottomLeft" activeCell="G28" sqref="G28"/>
    </sheetView>
  </sheetViews>
  <sheetFormatPr defaultColWidth="8.88888888888889" defaultRowHeight="15.6"/>
  <cols>
    <col min="1" max="1" width="3.88888888888889" style="3" customWidth="1"/>
    <col min="2" max="2" width="66.1111111111111" style="3" customWidth="1"/>
    <col min="3" max="4" width="16.7777777777778" style="3" customWidth="1"/>
    <col min="5" max="5" width="16.7777777777778" style="4" customWidth="1"/>
    <col min="6" max="6" width="17.8888888888889" style="4" customWidth="1"/>
    <col min="7" max="7" width="98.3333333333333" style="3" customWidth="1"/>
    <col min="8" max="8" width="8.88888888888889" style="3"/>
    <col min="9" max="9" width="3.88888888888889" style="3" customWidth="1"/>
    <col min="10" max="10" width="85" style="3" customWidth="1"/>
    <col min="11" max="14" width="18.1111111111111" style="3" customWidth="1"/>
    <col min="15" max="16384" width="8.88888888888889" style="3"/>
  </cols>
  <sheetData>
    <row r="1" ht="15" customHeight="1" spans="5:6">
      <c r="E1" s="54"/>
      <c r="F1" s="54"/>
    </row>
    <row r="2" ht="18" customHeight="1" spans="1:6">
      <c r="A2" s="81"/>
      <c r="B2" s="81"/>
      <c r="C2" s="81"/>
      <c r="D2" s="81"/>
      <c r="E2" s="81"/>
      <c r="F2" s="34"/>
    </row>
    <row r="3" ht="15" customHeight="1" spans="5:6">
      <c r="E3" s="54"/>
      <c r="F3" s="54"/>
    </row>
    <row r="4" ht="30" customHeight="1" spans="1:14">
      <c r="A4" s="36" t="s">
        <v>419</v>
      </c>
      <c r="B4" s="36"/>
      <c r="C4" s="36"/>
      <c r="D4" s="36"/>
      <c r="E4" s="36"/>
      <c r="F4" s="37"/>
      <c r="G4" s="38"/>
      <c r="I4" s="36" t="s">
        <v>419</v>
      </c>
      <c r="J4" s="36"/>
      <c r="K4" s="36"/>
      <c r="L4" s="36"/>
      <c r="M4" s="36"/>
      <c r="N4" s="38"/>
    </row>
    <row r="5" ht="30" customHeight="1" spans="1:14">
      <c r="A5" s="10" t="s">
        <v>194</v>
      </c>
      <c r="B5" s="10"/>
      <c r="C5" s="88" t="s">
        <v>195</v>
      </c>
      <c r="D5" s="39" t="s">
        <v>196</v>
      </c>
      <c r="E5" s="40" t="s">
        <v>197</v>
      </c>
      <c r="F5" s="89" t="s">
        <v>198</v>
      </c>
      <c r="G5" s="10" t="s">
        <v>199</v>
      </c>
      <c r="I5" s="10" t="s">
        <v>194</v>
      </c>
      <c r="J5" s="10"/>
      <c r="K5" s="88"/>
      <c r="L5" s="39"/>
      <c r="M5" s="39"/>
      <c r="N5" s="10"/>
    </row>
    <row r="6" s="1" customFormat="1" ht="45.75" customHeight="1" spans="1:14">
      <c r="A6" s="14" t="s">
        <v>200</v>
      </c>
      <c r="B6" s="14"/>
      <c r="C6" s="16"/>
      <c r="D6" s="16"/>
      <c r="E6" s="30"/>
      <c r="F6" s="30"/>
      <c r="G6" s="18"/>
      <c r="I6" s="14" t="s">
        <v>200</v>
      </c>
      <c r="J6" s="14"/>
      <c r="K6" s="30" t="s">
        <v>420</v>
      </c>
      <c r="L6" s="30" t="s">
        <v>421</v>
      </c>
      <c r="M6" s="30" t="s">
        <v>277</v>
      </c>
      <c r="N6" s="30" t="s">
        <v>278</v>
      </c>
    </row>
    <row r="7" s="2" customFormat="1" ht="48" customHeight="1" spans="1:18">
      <c r="A7" s="19">
        <v>1</v>
      </c>
      <c r="B7" s="20" t="s">
        <v>295</v>
      </c>
      <c r="C7" s="19" t="s">
        <v>422</v>
      </c>
      <c r="D7" s="19">
        <v>20</v>
      </c>
      <c r="E7" s="21">
        <v>20</v>
      </c>
      <c r="F7" s="19">
        <v>20</v>
      </c>
      <c r="G7" s="23"/>
      <c r="I7" s="19">
        <v>1</v>
      </c>
      <c r="J7" s="20" t="s">
        <v>295</v>
      </c>
      <c r="K7" s="19" t="s">
        <v>205</v>
      </c>
      <c r="L7" s="19" t="s">
        <v>209</v>
      </c>
      <c r="M7" s="19" t="s">
        <v>210</v>
      </c>
      <c r="N7" s="19" t="s">
        <v>211</v>
      </c>
      <c r="P7" s="31" t="s">
        <v>205</v>
      </c>
      <c r="Q7" s="19" t="s">
        <v>4</v>
      </c>
      <c r="R7" s="19"/>
    </row>
    <row r="8" s="2" customFormat="1" ht="48" customHeight="1" spans="1:18">
      <c r="A8" s="19">
        <v>2</v>
      </c>
      <c r="B8" s="20" t="s">
        <v>247</v>
      </c>
      <c r="C8" s="19" t="s">
        <v>422</v>
      </c>
      <c r="D8" s="19">
        <v>10</v>
      </c>
      <c r="E8" s="21">
        <v>10</v>
      </c>
      <c r="F8" s="19">
        <v>10</v>
      </c>
      <c r="G8" s="23"/>
      <c r="I8" s="19">
        <v>2</v>
      </c>
      <c r="J8" s="20" t="s">
        <v>247</v>
      </c>
      <c r="K8" s="19" t="s">
        <v>205</v>
      </c>
      <c r="L8" s="19" t="s">
        <v>209</v>
      </c>
      <c r="M8" s="19" t="s">
        <v>210</v>
      </c>
      <c r="N8" s="19" t="s">
        <v>211</v>
      </c>
      <c r="P8" s="33" t="s">
        <v>209</v>
      </c>
      <c r="Q8" s="19" t="s">
        <v>212</v>
      </c>
      <c r="R8" s="19"/>
    </row>
    <row r="9" s="2" customFormat="1" ht="48" customHeight="1" spans="1:18">
      <c r="A9" s="19">
        <v>3</v>
      </c>
      <c r="B9" s="41" t="s">
        <v>343</v>
      </c>
      <c r="C9" s="19" t="s">
        <v>422</v>
      </c>
      <c r="D9" s="19">
        <v>10</v>
      </c>
      <c r="E9" s="21">
        <v>10</v>
      </c>
      <c r="F9" s="19">
        <v>10</v>
      </c>
      <c r="G9" s="23"/>
      <c r="I9" s="19">
        <v>3</v>
      </c>
      <c r="J9" s="41" t="s">
        <v>343</v>
      </c>
      <c r="K9" s="19" t="s">
        <v>205</v>
      </c>
      <c r="L9" s="19" t="s">
        <v>209</v>
      </c>
      <c r="M9" s="19" t="s">
        <v>210</v>
      </c>
      <c r="N9" s="19" t="s">
        <v>211</v>
      </c>
      <c r="P9" s="14" t="s">
        <v>210</v>
      </c>
      <c r="Q9" s="19" t="s">
        <v>215</v>
      </c>
      <c r="R9" s="19"/>
    </row>
    <row r="10" s="2" customFormat="1" ht="48" customHeight="1" spans="1:18">
      <c r="A10" s="19">
        <v>4</v>
      </c>
      <c r="B10" s="20" t="s">
        <v>315</v>
      </c>
      <c r="C10" s="19" t="s">
        <v>422</v>
      </c>
      <c r="D10" s="19">
        <v>10</v>
      </c>
      <c r="E10" s="21">
        <v>10</v>
      </c>
      <c r="F10" s="19">
        <v>10</v>
      </c>
      <c r="G10" s="23"/>
      <c r="I10" s="19">
        <v>4</v>
      </c>
      <c r="J10" s="20" t="s">
        <v>315</v>
      </c>
      <c r="K10" s="19" t="s">
        <v>205</v>
      </c>
      <c r="L10" s="19" t="s">
        <v>209</v>
      </c>
      <c r="M10" s="19" t="s">
        <v>210</v>
      </c>
      <c r="N10" s="19" t="s">
        <v>211</v>
      </c>
      <c r="P10" s="10" t="s">
        <v>211</v>
      </c>
      <c r="Q10" s="19" t="s">
        <v>216</v>
      </c>
      <c r="R10" s="19"/>
    </row>
    <row r="11" s="2" customFormat="1" ht="48" customHeight="1" spans="1:14">
      <c r="A11" s="30" t="s">
        <v>344</v>
      </c>
      <c r="B11" s="30"/>
      <c r="C11" s="42"/>
      <c r="D11" s="42"/>
      <c r="E11" s="42"/>
      <c r="F11" s="42"/>
      <c r="G11" s="43"/>
      <c r="I11" s="30" t="s">
        <v>344</v>
      </c>
      <c r="J11" s="30"/>
      <c r="K11" s="42"/>
      <c r="L11" s="42"/>
      <c r="M11" s="42"/>
      <c r="N11" s="43"/>
    </row>
    <row r="12" s="2" customFormat="1" ht="48" customHeight="1" spans="1:14">
      <c r="A12" s="19">
        <v>5</v>
      </c>
      <c r="B12" s="20" t="s">
        <v>317</v>
      </c>
      <c r="C12" s="19" t="s">
        <v>422</v>
      </c>
      <c r="D12" s="19">
        <v>10</v>
      </c>
      <c r="E12" s="21">
        <v>10</v>
      </c>
      <c r="F12" s="19">
        <v>10</v>
      </c>
      <c r="G12" s="23"/>
      <c r="I12" s="19">
        <v>5</v>
      </c>
      <c r="J12" s="20" t="s">
        <v>317</v>
      </c>
      <c r="K12" s="19" t="s">
        <v>205</v>
      </c>
      <c r="L12" s="19" t="s">
        <v>209</v>
      </c>
      <c r="M12" s="19" t="s">
        <v>210</v>
      </c>
      <c r="N12" s="19" t="s">
        <v>211</v>
      </c>
    </row>
    <row r="13" s="2" customFormat="1" ht="48" customHeight="1" spans="1:14">
      <c r="A13" s="30" t="s">
        <v>163</v>
      </c>
      <c r="B13" s="30"/>
      <c r="C13" s="42"/>
      <c r="D13" s="42"/>
      <c r="E13" s="42"/>
      <c r="F13" s="42"/>
      <c r="G13" s="43"/>
      <c r="I13" s="30" t="s">
        <v>163</v>
      </c>
      <c r="J13" s="30"/>
      <c r="K13" s="42"/>
      <c r="L13" s="42"/>
      <c r="M13" s="42"/>
      <c r="N13" s="43"/>
    </row>
    <row r="14" s="2" customFormat="1" ht="48" customHeight="1" spans="1:14">
      <c r="A14" s="19">
        <v>6</v>
      </c>
      <c r="B14" s="20" t="s">
        <v>253</v>
      </c>
      <c r="C14" s="19" t="s">
        <v>422</v>
      </c>
      <c r="D14" s="19">
        <v>10</v>
      </c>
      <c r="E14" s="21">
        <v>10</v>
      </c>
      <c r="F14" s="19">
        <v>10</v>
      </c>
      <c r="G14" s="23"/>
      <c r="I14" s="19">
        <v>6</v>
      </c>
      <c r="J14" s="20" t="s">
        <v>253</v>
      </c>
      <c r="K14" s="19" t="s">
        <v>205</v>
      </c>
      <c r="L14" s="19" t="s">
        <v>209</v>
      </c>
      <c r="M14" s="19" t="s">
        <v>210</v>
      </c>
      <c r="N14" s="19" t="s">
        <v>211</v>
      </c>
    </row>
    <row r="15" s="2" customFormat="1" ht="48" customHeight="1" spans="1:14">
      <c r="A15" s="30" t="s">
        <v>346</v>
      </c>
      <c r="B15" s="30"/>
      <c r="C15" s="42"/>
      <c r="D15" s="42"/>
      <c r="E15" s="42"/>
      <c r="F15" s="42"/>
      <c r="G15" s="43"/>
      <c r="I15" s="30" t="s">
        <v>346</v>
      </c>
      <c r="J15" s="30"/>
      <c r="K15" s="42"/>
      <c r="L15" s="42"/>
      <c r="M15" s="42"/>
      <c r="N15" s="43"/>
    </row>
    <row r="16" s="2" customFormat="1" ht="48" customHeight="1" spans="1:14">
      <c r="A16" s="44">
        <v>7</v>
      </c>
      <c r="B16" s="20" t="s">
        <v>381</v>
      </c>
      <c r="C16" s="19" t="s">
        <v>422</v>
      </c>
      <c r="D16" s="19">
        <v>15</v>
      </c>
      <c r="E16" s="21">
        <v>15</v>
      </c>
      <c r="F16" s="19">
        <v>15</v>
      </c>
      <c r="G16" s="20"/>
      <c r="I16" s="44">
        <v>7</v>
      </c>
      <c r="J16" s="20" t="s">
        <v>381</v>
      </c>
      <c r="K16" s="19" t="s">
        <v>205</v>
      </c>
      <c r="L16" s="19" t="s">
        <v>209</v>
      </c>
      <c r="M16" s="19" t="s">
        <v>210</v>
      </c>
      <c r="N16" s="19" t="s">
        <v>211</v>
      </c>
    </row>
    <row r="17" s="2" customFormat="1" ht="48" customHeight="1" spans="1:14">
      <c r="A17" s="19">
        <v>8</v>
      </c>
      <c r="B17" s="20" t="s">
        <v>369</v>
      </c>
      <c r="C17" s="19" t="s">
        <v>422</v>
      </c>
      <c r="D17" s="19">
        <v>10</v>
      </c>
      <c r="E17" s="21">
        <v>10</v>
      </c>
      <c r="F17" s="19">
        <v>10</v>
      </c>
      <c r="G17" s="23"/>
      <c r="I17" s="19">
        <v>8</v>
      </c>
      <c r="J17" s="20" t="s">
        <v>369</v>
      </c>
      <c r="K17" s="19" t="s">
        <v>205</v>
      </c>
      <c r="L17" s="19" t="s">
        <v>209</v>
      </c>
      <c r="M17" s="19" t="s">
        <v>210</v>
      </c>
      <c r="N17" s="19" t="s">
        <v>211</v>
      </c>
    </row>
    <row r="18" s="2" customFormat="1" ht="48" customHeight="1" spans="1:14">
      <c r="A18" s="30" t="s">
        <v>320</v>
      </c>
      <c r="B18" s="30"/>
      <c r="C18" s="84"/>
      <c r="D18" s="42"/>
      <c r="E18" s="42"/>
      <c r="F18" s="42"/>
      <c r="G18" s="43"/>
      <c r="I18" s="30" t="s">
        <v>320</v>
      </c>
      <c r="J18" s="30"/>
      <c r="K18" s="42"/>
      <c r="L18" s="42"/>
      <c r="M18" s="42"/>
      <c r="N18" s="43"/>
    </row>
    <row r="19" s="2" customFormat="1" ht="48" customHeight="1" spans="1:14">
      <c r="A19" s="19">
        <v>9</v>
      </c>
      <c r="B19" s="20" t="s">
        <v>260</v>
      </c>
      <c r="C19" s="19" t="s">
        <v>422</v>
      </c>
      <c r="D19" s="19" t="s">
        <v>399</v>
      </c>
      <c r="E19" s="19" t="s">
        <v>399</v>
      </c>
      <c r="F19" s="19" t="s">
        <v>399</v>
      </c>
      <c r="G19" s="23"/>
      <c r="I19" s="19">
        <v>9</v>
      </c>
      <c r="J19" s="20" t="s">
        <v>260</v>
      </c>
      <c r="K19" s="19" t="s">
        <v>205</v>
      </c>
      <c r="L19" s="19" t="s">
        <v>209</v>
      </c>
      <c r="M19" s="19" t="s">
        <v>210</v>
      </c>
      <c r="N19" s="19" t="s">
        <v>211</v>
      </c>
    </row>
    <row r="20" s="2" customFormat="1" ht="48" customHeight="1" spans="1:14">
      <c r="A20" s="30" t="s">
        <v>327</v>
      </c>
      <c r="B20" s="30"/>
      <c r="C20" s="45"/>
      <c r="D20" s="42"/>
      <c r="E20" s="42"/>
      <c r="F20" s="42"/>
      <c r="G20" s="43"/>
      <c r="I20" s="30" t="s">
        <v>327</v>
      </c>
      <c r="J20" s="30"/>
      <c r="K20" s="84"/>
      <c r="L20" s="42"/>
      <c r="M20" s="42"/>
      <c r="N20" s="43"/>
    </row>
    <row r="21" s="2" customFormat="1" ht="48" customHeight="1" spans="1:14">
      <c r="A21" s="19">
        <v>10</v>
      </c>
      <c r="B21" s="23" t="s">
        <v>352</v>
      </c>
      <c r="C21" s="19" t="s">
        <v>422</v>
      </c>
      <c r="D21" s="19">
        <v>5</v>
      </c>
      <c r="E21" s="21">
        <v>5</v>
      </c>
      <c r="F21" s="19">
        <v>5</v>
      </c>
      <c r="G21" s="23"/>
      <c r="I21" s="19">
        <v>10</v>
      </c>
      <c r="J21" s="23" t="s">
        <v>352</v>
      </c>
      <c r="K21" s="19" t="s">
        <v>205</v>
      </c>
      <c r="L21" s="19" t="s">
        <v>209</v>
      </c>
      <c r="M21" s="19" t="s">
        <v>210</v>
      </c>
      <c r="N21" s="19" t="s">
        <v>211</v>
      </c>
    </row>
    <row r="22" s="2" customFormat="1" ht="48" customHeight="1" spans="1:14">
      <c r="A22" s="19">
        <v>11</v>
      </c>
      <c r="B22" s="23" t="s">
        <v>353</v>
      </c>
      <c r="C22" s="19" t="s">
        <v>422</v>
      </c>
      <c r="D22" s="19">
        <v>5</v>
      </c>
      <c r="E22" s="21">
        <v>5</v>
      </c>
      <c r="F22" s="19">
        <v>5</v>
      </c>
      <c r="G22" s="23"/>
      <c r="I22" s="19">
        <v>11</v>
      </c>
      <c r="J22" s="23" t="s">
        <v>353</v>
      </c>
      <c r="K22" s="19" t="s">
        <v>205</v>
      </c>
      <c r="L22" s="19" t="s">
        <v>209</v>
      </c>
      <c r="M22" s="19" t="s">
        <v>210</v>
      </c>
      <c r="N22" s="19" t="s">
        <v>211</v>
      </c>
    </row>
    <row r="23" s="2" customFormat="1" ht="48" customHeight="1" spans="1:14">
      <c r="A23" s="19">
        <v>12</v>
      </c>
      <c r="B23" s="23" t="s">
        <v>329</v>
      </c>
      <c r="C23" s="19" t="s">
        <v>422</v>
      </c>
      <c r="D23" s="19">
        <v>5</v>
      </c>
      <c r="E23" s="21">
        <v>5</v>
      </c>
      <c r="F23" s="19">
        <v>5</v>
      </c>
      <c r="G23" s="23"/>
      <c r="I23" s="19">
        <v>12</v>
      </c>
      <c r="J23" s="23" t="s">
        <v>329</v>
      </c>
      <c r="K23" s="19" t="s">
        <v>205</v>
      </c>
      <c r="L23" s="19" t="s">
        <v>209</v>
      </c>
      <c r="M23" s="19" t="s">
        <v>210</v>
      </c>
      <c r="N23" s="19" t="s">
        <v>211</v>
      </c>
    </row>
    <row r="24" s="2" customFormat="1" ht="48" customHeight="1" spans="1:14">
      <c r="A24" s="47">
        <v>13</v>
      </c>
      <c r="B24" s="23" t="s">
        <v>423</v>
      </c>
      <c r="C24" s="19" t="s">
        <v>422</v>
      </c>
      <c r="D24" s="19">
        <v>5</v>
      </c>
      <c r="E24" s="21">
        <v>5</v>
      </c>
      <c r="F24" s="19">
        <v>5</v>
      </c>
      <c r="G24" s="20"/>
      <c r="I24" s="47">
        <v>13</v>
      </c>
      <c r="J24" s="23" t="s">
        <v>423</v>
      </c>
      <c r="K24" s="19" t="s">
        <v>205</v>
      </c>
      <c r="L24" s="19" t="s">
        <v>209</v>
      </c>
      <c r="M24" s="19" t="s">
        <v>210</v>
      </c>
      <c r="N24" s="19" t="s">
        <v>211</v>
      </c>
    </row>
    <row r="25" s="2" customFormat="1" ht="48" customHeight="1" spans="1:14">
      <c r="A25" s="30" t="s">
        <v>305</v>
      </c>
      <c r="B25" s="30"/>
      <c r="C25" s="42"/>
      <c r="D25" s="42"/>
      <c r="E25" s="42"/>
      <c r="F25" s="42"/>
      <c r="G25" s="43"/>
      <c r="I25" s="30" t="s">
        <v>305</v>
      </c>
      <c r="J25" s="30"/>
      <c r="K25" s="42"/>
      <c r="L25" s="42"/>
      <c r="M25" s="42"/>
      <c r="N25" s="43"/>
    </row>
    <row r="26" s="2" customFormat="1" ht="48" customHeight="1" spans="1:14">
      <c r="A26" s="19">
        <v>14</v>
      </c>
      <c r="B26" s="20" t="s">
        <v>269</v>
      </c>
      <c r="C26" s="44" t="s">
        <v>422</v>
      </c>
      <c r="D26" s="19">
        <v>15</v>
      </c>
      <c r="E26" s="21">
        <v>15</v>
      </c>
      <c r="F26" s="19">
        <v>15</v>
      </c>
      <c r="G26" s="23"/>
      <c r="I26" s="19">
        <v>14</v>
      </c>
      <c r="J26" s="20" t="s">
        <v>269</v>
      </c>
      <c r="K26" s="19" t="s">
        <v>205</v>
      </c>
      <c r="L26" s="19" t="s">
        <v>209</v>
      </c>
      <c r="M26" s="19" t="s">
        <v>210</v>
      </c>
      <c r="N26" s="19" t="s">
        <v>211</v>
      </c>
    </row>
    <row r="27" s="2" customFormat="1" ht="48" customHeight="1" spans="1:14">
      <c r="A27" s="19">
        <v>15</v>
      </c>
      <c r="B27" s="48" t="s">
        <v>374</v>
      </c>
      <c r="C27" s="19" t="s">
        <v>422</v>
      </c>
      <c r="D27" s="19">
        <v>5</v>
      </c>
      <c r="E27" s="21">
        <v>5</v>
      </c>
      <c r="F27" s="19">
        <v>5</v>
      </c>
      <c r="G27" s="23"/>
      <c r="I27" s="19">
        <v>15</v>
      </c>
      <c r="J27" s="48" t="s">
        <v>374</v>
      </c>
      <c r="K27" s="19" t="s">
        <v>205</v>
      </c>
      <c r="L27" s="19" t="s">
        <v>209</v>
      </c>
      <c r="M27" s="19" t="s">
        <v>210</v>
      </c>
      <c r="N27" s="19" t="s">
        <v>211</v>
      </c>
    </row>
    <row r="28" s="2" customFormat="1" ht="48" customHeight="1" spans="1:14">
      <c r="A28" s="19">
        <v>16</v>
      </c>
      <c r="B28" s="48" t="s">
        <v>356</v>
      </c>
      <c r="C28" s="19" t="s">
        <v>422</v>
      </c>
      <c r="D28" s="19">
        <v>10</v>
      </c>
      <c r="E28" s="21">
        <v>0</v>
      </c>
      <c r="F28" s="19">
        <v>10</v>
      </c>
      <c r="G28" s="23" t="s">
        <v>424</v>
      </c>
      <c r="I28" s="19">
        <v>16</v>
      </c>
      <c r="J28" s="48" t="s">
        <v>356</v>
      </c>
      <c r="K28" s="19" t="s">
        <v>205</v>
      </c>
      <c r="L28" s="19" t="s">
        <v>209</v>
      </c>
      <c r="M28" s="19" t="s">
        <v>210</v>
      </c>
      <c r="N28" s="19" t="s">
        <v>211</v>
      </c>
    </row>
    <row r="29" s="2" customFormat="1" ht="48" customHeight="1" spans="1:14">
      <c r="A29" s="19">
        <v>17</v>
      </c>
      <c r="B29" s="48" t="s">
        <v>425</v>
      </c>
      <c r="C29" s="19" t="s">
        <v>422</v>
      </c>
      <c r="D29" s="19">
        <v>10</v>
      </c>
      <c r="E29" s="21">
        <v>10</v>
      </c>
      <c r="F29" s="19">
        <v>10</v>
      </c>
      <c r="G29" s="23"/>
      <c r="I29" s="19"/>
      <c r="J29" s="48"/>
      <c r="K29" s="19"/>
      <c r="L29" s="19"/>
      <c r="M29" s="19"/>
      <c r="N29" s="19"/>
    </row>
    <row r="30" s="2" customFormat="1" ht="48" customHeight="1" spans="1:14">
      <c r="A30" s="19">
        <v>18</v>
      </c>
      <c r="B30" s="48" t="s">
        <v>426</v>
      </c>
      <c r="C30" s="19" t="s">
        <v>422</v>
      </c>
      <c r="D30" s="19">
        <v>20</v>
      </c>
      <c r="E30" s="21">
        <v>20</v>
      </c>
      <c r="F30" s="19">
        <v>20</v>
      </c>
      <c r="G30" s="23"/>
      <c r="I30" s="19"/>
      <c r="J30" s="48"/>
      <c r="K30" s="19"/>
      <c r="L30" s="19"/>
      <c r="M30" s="19"/>
      <c r="N30" s="19"/>
    </row>
    <row r="31" s="2" customFormat="1" ht="48" customHeight="1" spans="1:14">
      <c r="A31" s="19">
        <v>19</v>
      </c>
      <c r="B31" s="23" t="s">
        <v>306</v>
      </c>
      <c r="C31" s="19" t="s">
        <v>422</v>
      </c>
      <c r="D31" s="19">
        <v>5</v>
      </c>
      <c r="E31" s="21">
        <v>5</v>
      </c>
      <c r="F31" s="19">
        <v>5</v>
      </c>
      <c r="G31" s="23"/>
      <c r="I31" s="19">
        <v>17</v>
      </c>
      <c r="J31" s="23" t="s">
        <v>306</v>
      </c>
      <c r="K31" s="19" t="s">
        <v>205</v>
      </c>
      <c r="L31" s="19" t="s">
        <v>209</v>
      </c>
      <c r="M31" s="19" t="s">
        <v>210</v>
      </c>
      <c r="N31" s="19" t="s">
        <v>211</v>
      </c>
    </row>
    <row r="32" s="2" customFormat="1" ht="48" customHeight="1" spans="1:14">
      <c r="A32" s="23"/>
      <c r="B32" s="76" t="s">
        <v>270</v>
      </c>
      <c r="C32" s="19"/>
      <c r="D32" s="19">
        <f>SUM(D7:D31)</f>
        <v>180</v>
      </c>
      <c r="E32" s="21">
        <f>SUM(E7:E31)</f>
        <v>170</v>
      </c>
      <c r="F32" s="19">
        <f>SUM(F7:F31)</f>
        <v>180</v>
      </c>
      <c r="G32" s="23"/>
      <c r="I32" s="52"/>
      <c r="J32" s="53"/>
      <c r="K32" s="52"/>
      <c r="L32" s="52"/>
      <c r="M32" s="52"/>
      <c r="N32" s="52"/>
    </row>
    <row r="33" s="2" customFormat="1" ht="48" customHeight="1" spans="1:14">
      <c r="A33" s="64"/>
      <c r="B33" s="65" t="s">
        <v>271</v>
      </c>
      <c r="C33" s="66"/>
      <c r="D33" s="19">
        <f>(D32/D32)*100</f>
        <v>100</v>
      </c>
      <c r="E33" s="26">
        <f>+E32/D32*100</f>
        <v>94.4444444444444</v>
      </c>
      <c r="F33" s="27">
        <f>+F32/D32*100</f>
        <v>100</v>
      </c>
      <c r="G33" s="23"/>
      <c r="I33" s="4"/>
      <c r="K33" s="4"/>
      <c r="L33" s="4"/>
      <c r="M33" s="4"/>
      <c r="N33" s="4"/>
    </row>
    <row r="34" s="2" customFormat="1" ht="48" customHeight="1" spans="1:14">
      <c r="A34" s="3"/>
      <c r="B34" s="3"/>
      <c r="C34" s="3"/>
      <c r="D34" s="3"/>
      <c r="E34" s="4"/>
      <c r="F34" s="4"/>
      <c r="I34" s="4"/>
      <c r="K34" s="4"/>
      <c r="L34" s="4"/>
      <c r="M34" s="4"/>
      <c r="N34" s="4"/>
    </row>
    <row r="35" s="2" customFormat="1" ht="48" customHeight="1" spans="1:13">
      <c r="A35" s="3"/>
      <c r="B35" s="3"/>
      <c r="C35" s="3"/>
      <c r="D35" s="3"/>
      <c r="E35" s="4"/>
      <c r="F35" s="4"/>
      <c r="I35" s="54"/>
      <c r="J35" s="54"/>
      <c r="K35" s="4"/>
      <c r="L35" s="4"/>
      <c r="M35" s="4"/>
    </row>
    <row r="36" s="2" customFormat="1" ht="48" customHeight="1" spans="1:14">
      <c r="A36" s="3"/>
      <c r="C36" s="3"/>
      <c r="D36" s="3"/>
      <c r="E36" s="4"/>
      <c r="F36" s="4"/>
      <c r="I36" s="4"/>
      <c r="J36" s="24"/>
      <c r="K36" s="4"/>
      <c r="L36" s="4"/>
      <c r="M36" s="4"/>
      <c r="N36" s="4"/>
    </row>
    <row r="37" s="2" customFormat="1" ht="48" customHeight="1" spans="1:14">
      <c r="A37" s="3"/>
      <c r="B37" s="3"/>
      <c r="C37" s="3"/>
      <c r="D37" s="3"/>
      <c r="E37" s="4"/>
      <c r="F37" s="4"/>
      <c r="I37" s="4"/>
      <c r="J37" s="56"/>
      <c r="K37" s="4"/>
      <c r="L37" s="4"/>
      <c r="M37" s="4"/>
      <c r="N37" s="4"/>
    </row>
    <row r="38" s="2" customFormat="1" ht="48" customHeight="1" spans="1:14">
      <c r="A38" s="3"/>
      <c r="B38" s="3"/>
      <c r="C38" s="3"/>
      <c r="D38" s="3"/>
      <c r="E38" s="4"/>
      <c r="F38" s="4"/>
      <c r="I38" s="4"/>
      <c r="J38" s="56"/>
      <c r="K38" s="4"/>
      <c r="L38" s="4"/>
      <c r="M38" s="4"/>
      <c r="N38" s="4"/>
    </row>
    <row r="39" s="2" customFormat="1" ht="48" customHeight="1" spans="1:14">
      <c r="A39" s="3"/>
      <c r="B39" s="3"/>
      <c r="C39" s="3"/>
      <c r="D39" s="3"/>
      <c r="E39" s="4"/>
      <c r="F39" s="4"/>
      <c r="I39" s="4"/>
      <c r="K39" s="4"/>
      <c r="L39" s="4"/>
      <c r="M39" s="4"/>
      <c r="N39" s="4"/>
    </row>
    <row r="40" s="2" customFormat="1" ht="48" customHeight="1" spans="1:13">
      <c r="A40" s="3"/>
      <c r="B40" s="3"/>
      <c r="C40" s="3"/>
      <c r="D40" s="3"/>
      <c r="E40" s="4"/>
      <c r="F40" s="4"/>
      <c r="J40" s="79"/>
      <c r="K40" s="4"/>
      <c r="L40" s="4"/>
      <c r="M40" s="4"/>
    </row>
    <row r="41" s="2" customFormat="1" ht="48" customHeight="1" spans="1:13">
      <c r="A41" s="3"/>
      <c r="B41" s="3"/>
      <c r="C41" s="3"/>
      <c r="D41" s="3"/>
      <c r="E41" s="4"/>
      <c r="F41" s="4"/>
      <c r="I41" s="3"/>
      <c r="J41" s="69"/>
      <c r="K41" s="5"/>
      <c r="L41" s="4"/>
      <c r="M41" s="58"/>
    </row>
    <row r="42" s="2" customFormat="1" ht="42" customHeight="1" spans="1:6">
      <c r="A42" s="3"/>
      <c r="B42" s="3"/>
      <c r="C42" s="3"/>
      <c r="D42" s="3"/>
      <c r="E42" s="4"/>
      <c r="F42" s="4"/>
    </row>
    <row r="43" s="2" customFormat="1" ht="42" customHeight="1" spans="1:6">
      <c r="A43" s="3"/>
      <c r="B43" s="3"/>
      <c r="C43" s="3"/>
      <c r="D43" s="3"/>
      <c r="E43" s="4"/>
      <c r="F43" s="4"/>
    </row>
    <row r="44" s="2" customFormat="1" ht="39.75" customHeight="1" spans="1:6">
      <c r="A44" s="3"/>
      <c r="B44" s="3"/>
      <c r="C44" s="3"/>
      <c r="D44" s="3"/>
      <c r="E44" s="4"/>
      <c r="F44" s="4"/>
    </row>
    <row r="45" s="2" customFormat="1" ht="33" customHeight="1" spans="1:6">
      <c r="A45" s="3"/>
      <c r="B45" s="3"/>
      <c r="C45" s="3"/>
      <c r="D45" s="3"/>
      <c r="E45" s="4"/>
      <c r="F45" s="4"/>
    </row>
    <row r="46" s="2" customFormat="1" ht="51" customHeight="1" spans="1:6">
      <c r="A46" s="3"/>
      <c r="B46" s="3"/>
      <c r="C46" s="3"/>
      <c r="D46" s="3"/>
      <c r="E46" s="4"/>
      <c r="F46" s="4"/>
    </row>
    <row r="47" s="2" customFormat="1" ht="40.5" customHeight="1" spans="1:6">
      <c r="A47" s="3"/>
      <c r="B47" s="3"/>
      <c r="C47" s="3"/>
      <c r="D47" s="3"/>
      <c r="E47" s="4"/>
      <c r="F47" s="4"/>
    </row>
    <row r="48" s="2" customFormat="1" ht="34.5" customHeight="1" spans="1:6">
      <c r="A48" s="3"/>
      <c r="B48" s="3"/>
      <c r="C48" s="3"/>
      <c r="D48" s="3"/>
      <c r="E48" s="4"/>
      <c r="F48" s="4"/>
    </row>
    <row r="49" s="2" customFormat="1" ht="34.5" customHeight="1" spans="1:6">
      <c r="A49" s="3"/>
      <c r="B49" s="3"/>
      <c r="C49" s="3"/>
      <c r="D49" s="3"/>
      <c r="E49" s="4"/>
      <c r="F49" s="4"/>
    </row>
    <row r="50" s="2" customFormat="1" ht="34.5" customHeight="1" spans="1:6">
      <c r="A50" s="3"/>
      <c r="B50" s="3"/>
      <c r="C50" s="3"/>
      <c r="D50" s="3"/>
      <c r="E50" s="4"/>
      <c r="F50" s="4"/>
    </row>
    <row r="51" s="2" customFormat="1" ht="31.5" customHeight="1" spans="1:6">
      <c r="A51" s="3"/>
      <c r="B51" s="3"/>
      <c r="C51" s="3"/>
      <c r="D51" s="3"/>
      <c r="E51" s="4"/>
      <c r="F51" s="4"/>
    </row>
    <row r="52" s="2" customFormat="1" ht="34.5" customHeight="1" spans="1:6">
      <c r="A52" s="3"/>
      <c r="B52" s="3"/>
      <c r="C52" s="3"/>
      <c r="D52" s="3"/>
      <c r="E52" s="4"/>
      <c r="F52" s="4"/>
    </row>
    <row r="53" s="2" customFormat="1" ht="42" customHeight="1" spans="1:6">
      <c r="A53" s="3"/>
      <c r="B53" s="3"/>
      <c r="C53" s="3"/>
      <c r="D53" s="3"/>
      <c r="E53" s="4"/>
      <c r="F53" s="4"/>
    </row>
    <row r="54" s="2" customFormat="1" ht="42" customHeight="1" spans="1:6">
      <c r="A54" s="3"/>
      <c r="B54" s="3"/>
      <c r="C54" s="3"/>
      <c r="D54" s="3"/>
      <c r="E54" s="4"/>
      <c r="F54" s="4"/>
    </row>
    <row r="55" s="2" customFormat="1" ht="42" customHeight="1" spans="1:6">
      <c r="A55" s="3"/>
      <c r="B55" s="3"/>
      <c r="C55" s="3"/>
      <c r="D55" s="3"/>
      <c r="E55" s="4"/>
      <c r="F55" s="4"/>
    </row>
    <row r="56" s="2" customFormat="1" ht="61.5" customHeight="1" spans="1:6">
      <c r="A56" s="3"/>
      <c r="B56" s="3"/>
      <c r="C56" s="3"/>
      <c r="D56" s="3"/>
      <c r="E56" s="4"/>
      <c r="F56" s="4"/>
    </row>
    <row r="57" s="2" customFormat="1" ht="42" customHeight="1" spans="1:6">
      <c r="A57" s="3"/>
      <c r="B57" s="3"/>
      <c r="C57" s="3"/>
      <c r="D57" s="3"/>
      <c r="E57" s="4"/>
      <c r="F57" s="4"/>
    </row>
    <row r="58" s="2" customFormat="1" ht="45" customHeight="1" spans="1:6">
      <c r="A58" s="3"/>
      <c r="B58" s="3"/>
      <c r="C58" s="3"/>
      <c r="D58" s="3"/>
      <c r="E58" s="4"/>
      <c r="F58" s="4"/>
    </row>
    <row r="59" s="2" customFormat="1" ht="37.5" customHeight="1" spans="1:6">
      <c r="A59" s="3"/>
      <c r="B59" s="3"/>
      <c r="C59" s="3"/>
      <c r="D59" s="3"/>
      <c r="E59" s="4"/>
      <c r="F59" s="4"/>
    </row>
    <row r="60" s="2" customFormat="1" ht="30" customHeight="1" spans="1:6">
      <c r="A60" s="3"/>
      <c r="B60" s="3"/>
      <c r="C60" s="3"/>
      <c r="D60" s="3"/>
      <c r="E60" s="4"/>
      <c r="F60" s="4"/>
    </row>
    <row r="61" s="2" customFormat="1" ht="39.75" customHeight="1" spans="1:6">
      <c r="A61" s="3"/>
      <c r="B61" s="3"/>
      <c r="C61" s="3"/>
      <c r="D61" s="3"/>
      <c r="E61" s="4"/>
      <c r="F61" s="4"/>
    </row>
    <row r="62" s="2" customFormat="1" ht="30" customHeight="1" spans="1:6">
      <c r="A62" s="3"/>
      <c r="B62" s="3"/>
      <c r="C62" s="3"/>
      <c r="D62" s="3"/>
      <c r="E62" s="4"/>
      <c r="F62" s="4"/>
    </row>
    <row r="63" s="2" customFormat="1" ht="30" customHeight="1" spans="1:6">
      <c r="A63" s="3"/>
      <c r="B63" s="3"/>
      <c r="C63" s="3"/>
      <c r="D63" s="3"/>
      <c r="E63" s="4"/>
      <c r="F63" s="4"/>
    </row>
    <row r="64" s="2" customFormat="1" ht="30" customHeight="1" spans="1:6">
      <c r="A64" s="3"/>
      <c r="B64" s="3"/>
      <c r="C64" s="3"/>
      <c r="D64" s="3"/>
      <c r="E64" s="4"/>
      <c r="F64" s="4"/>
    </row>
    <row r="65" s="2" customFormat="1" ht="30" customHeight="1" spans="1:6">
      <c r="A65" s="3"/>
      <c r="B65" s="3"/>
      <c r="C65" s="3"/>
      <c r="D65" s="3"/>
      <c r="E65" s="4"/>
      <c r="F65" s="4"/>
    </row>
    <row r="66" s="2" customFormat="1" ht="30" customHeight="1" spans="1:6">
      <c r="A66" s="3"/>
      <c r="B66" s="3"/>
      <c r="C66" s="3"/>
      <c r="D66" s="3"/>
      <c r="E66" s="4"/>
      <c r="F66" s="4"/>
    </row>
    <row r="67" s="2" customFormat="1" ht="30" customHeight="1" spans="1:6">
      <c r="A67" s="3"/>
      <c r="B67" s="3"/>
      <c r="C67" s="3"/>
      <c r="D67" s="3"/>
      <c r="E67" s="4"/>
      <c r="F67" s="4"/>
    </row>
    <row r="68" s="2" customFormat="1" ht="30" customHeight="1" spans="1:6">
      <c r="A68" s="3"/>
      <c r="B68" s="3"/>
      <c r="C68" s="3"/>
      <c r="D68" s="3"/>
      <c r="E68" s="4"/>
      <c r="F68" s="4"/>
    </row>
    <row r="69" s="2" customFormat="1" ht="39.75" customHeight="1" spans="1:6">
      <c r="A69" s="3"/>
      <c r="B69" s="3"/>
      <c r="C69" s="3"/>
      <c r="D69" s="3"/>
      <c r="E69" s="4"/>
      <c r="F69" s="4"/>
    </row>
    <row r="70" s="2" customFormat="1" ht="39.75" customHeight="1" spans="1:6">
      <c r="A70" s="3"/>
      <c r="B70" s="3"/>
      <c r="C70" s="3"/>
      <c r="D70" s="3"/>
      <c r="E70" s="4"/>
      <c r="F70" s="4"/>
    </row>
    <row r="71" s="2" customFormat="1" ht="39.75" customHeight="1" spans="1:6">
      <c r="A71" s="3"/>
      <c r="B71" s="3"/>
      <c r="C71" s="3"/>
      <c r="D71" s="3"/>
      <c r="E71" s="4"/>
      <c r="F71" s="4"/>
    </row>
    <row r="72" s="2" customFormat="1" ht="39.75" customHeight="1" spans="1:6">
      <c r="A72" s="3"/>
      <c r="B72" s="3"/>
      <c r="C72" s="3"/>
      <c r="D72" s="3"/>
      <c r="E72" s="4"/>
      <c r="F72" s="4"/>
    </row>
    <row r="73" s="2" customFormat="1" ht="33.75" customHeight="1" spans="1:6">
      <c r="A73" s="3"/>
      <c r="B73" s="3"/>
      <c r="C73" s="3"/>
      <c r="D73" s="3"/>
      <c r="E73" s="4"/>
      <c r="F73" s="4"/>
    </row>
    <row r="74" s="2" customFormat="1" ht="30" customHeight="1" spans="1:6">
      <c r="A74" s="3"/>
      <c r="B74" s="3"/>
      <c r="C74" s="3"/>
      <c r="D74" s="3"/>
      <c r="E74" s="4"/>
      <c r="F74" s="4"/>
    </row>
    <row r="75" s="2" customFormat="1" ht="30" customHeight="1" spans="1:6">
      <c r="A75" s="3"/>
      <c r="B75" s="3"/>
      <c r="C75" s="3"/>
      <c r="D75" s="3"/>
      <c r="E75" s="4"/>
      <c r="F75" s="4"/>
    </row>
    <row r="76" s="2" customFormat="1" ht="30" customHeight="1" spans="1:6">
      <c r="A76" s="3"/>
      <c r="B76" s="3"/>
      <c r="C76" s="3"/>
      <c r="D76" s="3"/>
      <c r="E76" s="4"/>
      <c r="F76" s="4"/>
    </row>
    <row r="77" s="2" customFormat="1" ht="30" customHeight="1" spans="1:6">
      <c r="A77" s="3"/>
      <c r="B77" s="3"/>
      <c r="C77" s="3"/>
      <c r="D77" s="3"/>
      <c r="E77" s="4"/>
      <c r="F77" s="4"/>
    </row>
    <row r="78" s="2" customFormat="1" ht="30" customHeight="1" spans="1:6">
      <c r="A78" s="3"/>
      <c r="B78" s="3"/>
      <c r="C78" s="3"/>
      <c r="D78" s="3"/>
      <c r="E78" s="4"/>
      <c r="F78" s="4"/>
    </row>
    <row r="79" s="2" customFormat="1" ht="30" customHeight="1" spans="1:6">
      <c r="A79" s="3"/>
      <c r="B79" s="3"/>
      <c r="C79" s="3"/>
      <c r="D79" s="3"/>
      <c r="E79" s="4"/>
      <c r="F79" s="4"/>
    </row>
    <row r="80" s="2" customFormat="1" ht="30" customHeight="1" spans="1:6">
      <c r="A80" s="3"/>
      <c r="B80" s="3"/>
      <c r="C80" s="3"/>
      <c r="D80" s="3"/>
      <c r="E80" s="4"/>
      <c r="F80" s="4"/>
    </row>
    <row r="81" s="2" customFormat="1" ht="30" customHeight="1" spans="1:6">
      <c r="A81" s="3"/>
      <c r="B81" s="3"/>
      <c r="C81" s="3"/>
      <c r="D81" s="3"/>
      <c r="E81" s="4"/>
      <c r="F81" s="4"/>
    </row>
    <row r="82" s="2" customFormat="1" ht="30" customHeight="1" spans="1:6">
      <c r="A82" s="3"/>
      <c r="B82" s="3"/>
      <c r="C82" s="3"/>
      <c r="D82" s="3"/>
      <c r="E82" s="4"/>
      <c r="F82" s="4"/>
    </row>
    <row r="83" s="2" customFormat="1" ht="30" customHeight="1" spans="1:6">
      <c r="A83" s="3"/>
      <c r="B83" s="3"/>
      <c r="C83" s="3"/>
      <c r="D83" s="3"/>
      <c r="E83" s="4"/>
      <c r="F83" s="4"/>
    </row>
    <row r="84" s="2" customFormat="1" ht="30" customHeight="1" spans="1:6">
      <c r="A84" s="3"/>
      <c r="B84" s="3"/>
      <c r="C84" s="3"/>
      <c r="D84" s="3"/>
      <c r="E84" s="4"/>
      <c r="F84" s="4"/>
    </row>
    <row r="85" s="2" customFormat="1" ht="30" customHeight="1" spans="1:6">
      <c r="A85" s="3"/>
      <c r="B85" s="3"/>
      <c r="C85" s="3"/>
      <c r="D85" s="3"/>
      <c r="E85" s="4"/>
      <c r="F85" s="4"/>
    </row>
    <row r="86" s="2" customFormat="1" ht="30" customHeight="1" spans="1:6">
      <c r="A86" s="3"/>
      <c r="B86" s="3"/>
      <c r="C86" s="3"/>
      <c r="D86" s="3"/>
      <c r="E86" s="4"/>
      <c r="F86" s="4"/>
    </row>
    <row r="87" s="2" customFormat="1" ht="30" customHeight="1" spans="1:6">
      <c r="A87" s="3"/>
      <c r="B87" s="3"/>
      <c r="C87" s="3"/>
      <c r="D87" s="3"/>
      <c r="E87" s="4"/>
      <c r="F87" s="4"/>
    </row>
    <row r="88" s="2" customFormat="1" ht="30" customHeight="1" spans="1:7">
      <c r="A88" s="3"/>
      <c r="B88" s="3"/>
      <c r="C88" s="3"/>
      <c r="D88" s="3"/>
      <c r="E88" s="4"/>
      <c r="F88" s="4"/>
      <c r="G88" s="3"/>
    </row>
    <row r="89" s="2" customFormat="1" ht="30" customHeight="1" spans="1:7">
      <c r="A89" s="3"/>
      <c r="B89" s="3"/>
      <c r="C89" s="3"/>
      <c r="D89" s="3"/>
      <c r="E89" s="4"/>
      <c r="F89" s="4"/>
      <c r="G89" s="3"/>
    </row>
    <row r="90" s="2" customFormat="1" ht="30" customHeight="1" spans="1:7">
      <c r="A90" s="3"/>
      <c r="B90" s="3"/>
      <c r="C90" s="3"/>
      <c r="D90" s="3"/>
      <c r="E90" s="4"/>
      <c r="F90" s="4"/>
      <c r="G90" s="3"/>
    </row>
    <row r="91" s="2" customFormat="1" ht="30" customHeight="1" spans="1:7">
      <c r="A91" s="3"/>
      <c r="B91" s="3"/>
      <c r="C91" s="3"/>
      <c r="D91" s="3"/>
      <c r="E91" s="4"/>
      <c r="F91" s="4"/>
      <c r="G91" s="3"/>
    </row>
    <row r="92" s="2" customFormat="1" ht="30" customHeight="1" spans="1:7">
      <c r="A92" s="3"/>
      <c r="B92" s="3"/>
      <c r="C92" s="3"/>
      <c r="D92" s="3"/>
      <c r="E92" s="4"/>
      <c r="F92" s="4"/>
      <c r="G92" s="3"/>
    </row>
    <row r="93" s="2" customFormat="1" ht="31.5" customHeight="1" spans="1:7">
      <c r="A93" s="3"/>
      <c r="B93" s="3"/>
      <c r="C93" s="3"/>
      <c r="D93" s="3"/>
      <c r="E93" s="4"/>
      <c r="F93" s="4"/>
      <c r="G93" s="3"/>
    </row>
    <row r="94" s="2" customFormat="1" ht="30" customHeight="1" spans="1:7">
      <c r="A94" s="3"/>
      <c r="B94" s="3"/>
      <c r="C94" s="3"/>
      <c r="D94" s="3"/>
      <c r="E94" s="4"/>
      <c r="F94" s="4"/>
      <c r="G94" s="3"/>
    </row>
    <row r="95" s="2" customFormat="1" ht="30" customHeight="1" spans="1:8">
      <c r="A95" s="3"/>
      <c r="B95" s="3"/>
      <c r="C95" s="3"/>
      <c r="D95" s="3"/>
      <c r="E95" s="4"/>
      <c r="F95" s="4"/>
      <c r="G95" s="3"/>
      <c r="H95" s="3"/>
    </row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</sheetData>
  <autoFilter ref="A5:H104">
    <extLst/>
  </autoFilter>
  <mergeCells count="24">
    <mergeCell ref="A2:E2"/>
    <mergeCell ref="A4:E4"/>
    <mergeCell ref="I4:M4"/>
    <mergeCell ref="A5:B5"/>
    <mergeCell ref="I5:J5"/>
    <mergeCell ref="A6:B6"/>
    <mergeCell ref="I6:J6"/>
    <mergeCell ref="Q7:R7"/>
    <mergeCell ref="Q8:R8"/>
    <mergeCell ref="Q9:R9"/>
    <mergeCell ref="Q10:R10"/>
    <mergeCell ref="A11:B11"/>
    <mergeCell ref="I11:J11"/>
    <mergeCell ref="A13:B13"/>
    <mergeCell ref="I13:J13"/>
    <mergeCell ref="A15:B15"/>
    <mergeCell ref="I15:J15"/>
    <mergeCell ref="A18:B18"/>
    <mergeCell ref="I18:J18"/>
    <mergeCell ref="A20:B20"/>
    <mergeCell ref="I20:J20"/>
    <mergeCell ref="A25:B25"/>
    <mergeCell ref="I25:J25"/>
    <mergeCell ref="I35:J35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R100"/>
  <sheetViews>
    <sheetView zoomScale="83" zoomScaleNormal="83" workbookViewId="0">
      <pane ySplit="5" topLeftCell="A34" activePane="bottomLeft" state="frozen"/>
      <selection/>
      <selection pane="bottomLeft" activeCell="C42" sqref="C42"/>
    </sheetView>
  </sheetViews>
  <sheetFormatPr defaultColWidth="8.88888888888889" defaultRowHeight="15.6"/>
  <cols>
    <col min="1" max="1" width="3.88888888888889" style="3" customWidth="1"/>
    <col min="2" max="2" width="66.1111111111111" style="3" customWidth="1"/>
    <col min="3" max="5" width="18.4444444444444" style="4" customWidth="1"/>
    <col min="6" max="6" width="14" style="4" customWidth="1"/>
    <col min="7" max="7" width="31.1111111111111" style="4" customWidth="1"/>
    <col min="8" max="8" width="8.88888888888889" style="3"/>
    <col min="9" max="9" width="3.88888888888889" style="3" customWidth="1"/>
    <col min="10" max="10" width="63.4444444444444" style="3" customWidth="1"/>
    <col min="11" max="14" width="17.4444444444444" style="3" customWidth="1"/>
    <col min="15" max="16384" width="8.88888888888889" style="3"/>
  </cols>
  <sheetData>
    <row r="1" ht="15" customHeight="1" spans="5:6">
      <c r="E1" s="54"/>
      <c r="F1" s="54"/>
    </row>
    <row r="2" ht="18" customHeight="1" spans="1:6">
      <c r="A2" s="81"/>
      <c r="B2" s="81"/>
      <c r="C2" s="81"/>
      <c r="D2" s="81"/>
      <c r="E2" s="81"/>
      <c r="F2" s="34"/>
    </row>
    <row r="3" ht="15" customHeight="1" spans="5:6">
      <c r="E3" s="54"/>
      <c r="F3" s="54"/>
    </row>
    <row r="4" ht="30" customHeight="1" spans="1:14">
      <c r="A4" s="36" t="s">
        <v>30</v>
      </c>
      <c r="B4" s="36"/>
      <c r="C4" s="36"/>
      <c r="D4" s="36"/>
      <c r="E4" s="36"/>
      <c r="F4" s="37"/>
      <c r="G4" s="82"/>
      <c r="I4" s="36" t="s">
        <v>30</v>
      </c>
      <c r="J4" s="36"/>
      <c r="K4" s="36"/>
      <c r="L4" s="36"/>
      <c r="M4" s="36"/>
      <c r="N4" s="82"/>
    </row>
    <row r="5" ht="30" customHeight="1" spans="1:14">
      <c r="A5" s="10" t="s">
        <v>194</v>
      </c>
      <c r="B5" s="10"/>
      <c r="C5" s="10" t="s">
        <v>195</v>
      </c>
      <c r="D5" s="39" t="s">
        <v>196</v>
      </c>
      <c r="E5" s="40" t="s">
        <v>197</v>
      </c>
      <c r="F5" s="13" t="s">
        <v>198</v>
      </c>
      <c r="G5" s="10" t="s">
        <v>199</v>
      </c>
      <c r="I5" s="10" t="s">
        <v>194</v>
      </c>
      <c r="J5" s="10"/>
      <c r="K5" s="10"/>
      <c r="L5" s="39"/>
      <c r="M5" s="39"/>
      <c r="N5" s="10"/>
    </row>
    <row r="6" s="1" customFormat="1" ht="30" customHeight="1" spans="1:14">
      <c r="A6" s="14" t="s">
        <v>200</v>
      </c>
      <c r="B6" s="14"/>
      <c r="C6" s="14"/>
      <c r="D6" s="14"/>
      <c r="E6" s="30"/>
      <c r="F6" s="30"/>
      <c r="G6" s="83"/>
      <c r="I6" s="14" t="s">
        <v>200</v>
      </c>
      <c r="J6" s="14"/>
      <c r="K6" s="30" t="s">
        <v>427</v>
      </c>
      <c r="L6" s="30" t="s">
        <v>428</v>
      </c>
      <c r="M6" s="30" t="s">
        <v>277</v>
      </c>
      <c r="N6" s="30" t="s">
        <v>278</v>
      </c>
    </row>
    <row r="7" s="2" customFormat="1" ht="45.75" customHeight="1" spans="1:18">
      <c r="A7" s="19">
        <v>1</v>
      </c>
      <c r="B7" s="20" t="s">
        <v>295</v>
      </c>
      <c r="C7" s="19" t="s">
        <v>422</v>
      </c>
      <c r="D7" s="19">
        <v>20</v>
      </c>
      <c r="E7" s="21">
        <v>20</v>
      </c>
      <c r="F7" s="19">
        <v>20</v>
      </c>
      <c r="G7" s="19"/>
      <c r="I7" s="19">
        <v>1</v>
      </c>
      <c r="J7" s="20" t="s">
        <v>295</v>
      </c>
      <c r="K7" s="19" t="s">
        <v>209</v>
      </c>
      <c r="L7" s="19" t="s">
        <v>205</v>
      </c>
      <c r="M7" s="19" t="s">
        <v>210</v>
      </c>
      <c r="N7" s="19" t="s">
        <v>211</v>
      </c>
      <c r="P7" s="31" t="s">
        <v>205</v>
      </c>
      <c r="Q7" s="19" t="s">
        <v>4</v>
      </c>
      <c r="R7" s="19"/>
    </row>
    <row r="8" s="2" customFormat="1" ht="45.75" customHeight="1" spans="1:18">
      <c r="A8" s="19">
        <v>2</v>
      </c>
      <c r="B8" s="20" t="s">
        <v>247</v>
      </c>
      <c r="C8" s="19" t="s">
        <v>422</v>
      </c>
      <c r="D8" s="19">
        <v>10</v>
      </c>
      <c r="E8" s="21">
        <v>10</v>
      </c>
      <c r="F8" s="19">
        <v>10</v>
      </c>
      <c r="G8" s="72"/>
      <c r="I8" s="19">
        <v>2</v>
      </c>
      <c r="J8" s="20" t="s">
        <v>247</v>
      </c>
      <c r="K8" s="19" t="s">
        <v>209</v>
      </c>
      <c r="L8" s="19" t="s">
        <v>205</v>
      </c>
      <c r="M8" s="19" t="s">
        <v>210</v>
      </c>
      <c r="N8" s="19" t="s">
        <v>211</v>
      </c>
      <c r="P8" s="33" t="s">
        <v>209</v>
      </c>
      <c r="Q8" s="19" t="s">
        <v>212</v>
      </c>
      <c r="R8" s="19"/>
    </row>
    <row r="9" s="2" customFormat="1" ht="45.75" customHeight="1" spans="1:18">
      <c r="A9" s="19">
        <v>3</v>
      </c>
      <c r="B9" s="41" t="s">
        <v>343</v>
      </c>
      <c r="C9" s="19" t="s">
        <v>422</v>
      </c>
      <c r="D9" s="19">
        <v>10</v>
      </c>
      <c r="E9" s="21">
        <v>10</v>
      </c>
      <c r="F9" s="19">
        <v>10</v>
      </c>
      <c r="G9" s="19"/>
      <c r="I9" s="19">
        <v>3</v>
      </c>
      <c r="J9" s="41" t="s">
        <v>343</v>
      </c>
      <c r="K9" s="19" t="s">
        <v>209</v>
      </c>
      <c r="L9" s="19" t="s">
        <v>205</v>
      </c>
      <c r="M9" s="19" t="s">
        <v>210</v>
      </c>
      <c r="N9" s="19" t="s">
        <v>211</v>
      </c>
      <c r="P9" s="14" t="s">
        <v>210</v>
      </c>
      <c r="Q9" s="19" t="s">
        <v>215</v>
      </c>
      <c r="R9" s="19"/>
    </row>
    <row r="10" s="2" customFormat="1" ht="45.75" customHeight="1" spans="1:18">
      <c r="A10" s="19">
        <v>4</v>
      </c>
      <c r="B10" s="20" t="s">
        <v>315</v>
      </c>
      <c r="C10" s="19" t="s">
        <v>422</v>
      </c>
      <c r="D10" s="19">
        <v>10</v>
      </c>
      <c r="E10" s="21">
        <v>10</v>
      </c>
      <c r="F10" s="19">
        <v>10</v>
      </c>
      <c r="G10" s="19"/>
      <c r="I10" s="19">
        <v>4</v>
      </c>
      <c r="J10" s="20" t="s">
        <v>315</v>
      </c>
      <c r="K10" s="19" t="s">
        <v>209</v>
      </c>
      <c r="L10" s="19" t="s">
        <v>205</v>
      </c>
      <c r="M10" s="19" t="s">
        <v>210</v>
      </c>
      <c r="N10" s="19" t="s">
        <v>211</v>
      </c>
      <c r="P10" s="10" t="s">
        <v>211</v>
      </c>
      <c r="Q10" s="19" t="s">
        <v>216</v>
      </c>
      <c r="R10" s="19"/>
    </row>
    <row r="11" s="2" customFormat="1" ht="45.75" customHeight="1" spans="1:14">
      <c r="A11" s="30" t="s">
        <v>344</v>
      </c>
      <c r="B11" s="30"/>
      <c r="C11" s="42"/>
      <c r="D11" s="42"/>
      <c r="E11" s="42"/>
      <c r="F11" s="42"/>
      <c r="G11" s="42"/>
      <c r="I11" s="30" t="s">
        <v>344</v>
      </c>
      <c r="J11" s="30"/>
      <c r="K11" s="84"/>
      <c r="L11" s="42"/>
      <c r="M11" s="42"/>
      <c r="N11" s="42"/>
    </row>
    <row r="12" s="2" customFormat="1" ht="45.75" customHeight="1" spans="1:14">
      <c r="A12" s="19">
        <v>5</v>
      </c>
      <c r="B12" s="20" t="s">
        <v>317</v>
      </c>
      <c r="C12" s="19" t="s">
        <v>422</v>
      </c>
      <c r="D12" s="19">
        <v>10</v>
      </c>
      <c r="E12" s="21">
        <v>10</v>
      </c>
      <c r="F12" s="19">
        <v>10</v>
      </c>
      <c r="G12" s="72"/>
      <c r="I12" s="19">
        <v>5</v>
      </c>
      <c r="J12" s="20" t="s">
        <v>317</v>
      </c>
      <c r="K12" s="19" t="s">
        <v>209</v>
      </c>
      <c r="L12" s="19" t="s">
        <v>205</v>
      </c>
      <c r="M12" s="19" t="s">
        <v>210</v>
      </c>
      <c r="N12" s="19" t="s">
        <v>211</v>
      </c>
    </row>
    <row r="13" s="2" customFormat="1" ht="45.75" customHeight="1" spans="1:14">
      <c r="A13" s="30" t="s">
        <v>163</v>
      </c>
      <c r="B13" s="30"/>
      <c r="C13" s="42"/>
      <c r="D13" s="42"/>
      <c r="E13" s="42"/>
      <c r="F13" s="42"/>
      <c r="G13" s="42"/>
      <c r="I13" s="30" t="s">
        <v>163</v>
      </c>
      <c r="J13" s="30"/>
      <c r="K13" s="42"/>
      <c r="L13" s="42"/>
      <c r="M13" s="42"/>
      <c r="N13" s="42"/>
    </row>
    <row r="14" s="2" customFormat="1" ht="45.75" customHeight="1" spans="1:14">
      <c r="A14" s="19">
        <v>6</v>
      </c>
      <c r="B14" s="20" t="s">
        <v>253</v>
      </c>
      <c r="C14" s="19" t="s">
        <v>422</v>
      </c>
      <c r="D14" s="19">
        <v>10</v>
      </c>
      <c r="E14" s="21">
        <v>10</v>
      </c>
      <c r="F14" s="19">
        <v>10</v>
      </c>
      <c r="G14" s="19"/>
      <c r="I14" s="19">
        <v>6</v>
      </c>
      <c r="J14" s="20" t="s">
        <v>253</v>
      </c>
      <c r="K14" s="19" t="s">
        <v>209</v>
      </c>
      <c r="L14" s="19" t="s">
        <v>205</v>
      </c>
      <c r="M14" s="19" t="s">
        <v>210</v>
      </c>
      <c r="N14" s="19" t="s">
        <v>211</v>
      </c>
    </row>
    <row r="15" s="2" customFormat="1" ht="45.75" customHeight="1" spans="1:14">
      <c r="A15" s="30" t="s">
        <v>346</v>
      </c>
      <c r="B15" s="30"/>
      <c r="C15" s="42"/>
      <c r="D15" s="42"/>
      <c r="E15" s="42"/>
      <c r="F15" s="42"/>
      <c r="G15" s="42"/>
      <c r="I15" s="30" t="s">
        <v>346</v>
      </c>
      <c r="J15" s="30"/>
      <c r="K15" s="42"/>
      <c r="L15" s="42"/>
      <c r="M15" s="42"/>
      <c r="N15" s="42"/>
    </row>
    <row r="16" s="2" customFormat="1" ht="45.75" customHeight="1" spans="1:14">
      <c r="A16" s="44">
        <v>7</v>
      </c>
      <c r="B16" s="20" t="s">
        <v>381</v>
      </c>
      <c r="C16" s="19" t="s">
        <v>422</v>
      </c>
      <c r="D16" s="19">
        <v>15</v>
      </c>
      <c r="E16" s="21">
        <v>15</v>
      </c>
      <c r="F16" s="19">
        <v>15</v>
      </c>
      <c r="G16" s="44"/>
      <c r="I16" s="44">
        <v>7</v>
      </c>
      <c r="J16" s="20" t="s">
        <v>381</v>
      </c>
      <c r="K16" s="19" t="s">
        <v>209</v>
      </c>
      <c r="L16" s="19" t="s">
        <v>205</v>
      </c>
      <c r="M16" s="19" t="s">
        <v>210</v>
      </c>
      <c r="N16" s="19" t="s">
        <v>211</v>
      </c>
    </row>
    <row r="17" s="2" customFormat="1" ht="45.75" customHeight="1" spans="1:14">
      <c r="A17" s="19">
        <v>8</v>
      </c>
      <c r="B17" s="20" t="s">
        <v>429</v>
      </c>
      <c r="C17" s="19" t="s">
        <v>422</v>
      </c>
      <c r="D17" s="19">
        <v>10</v>
      </c>
      <c r="E17" s="21">
        <v>0</v>
      </c>
      <c r="F17" s="19">
        <v>0</v>
      </c>
      <c r="G17" s="44" t="s">
        <v>430</v>
      </c>
      <c r="I17" s="19">
        <v>8</v>
      </c>
      <c r="J17" s="20" t="s">
        <v>429</v>
      </c>
      <c r="K17" s="19" t="s">
        <v>209</v>
      </c>
      <c r="L17" s="19" t="s">
        <v>205</v>
      </c>
      <c r="M17" s="19" t="s">
        <v>210</v>
      </c>
      <c r="N17" s="19" t="s">
        <v>211</v>
      </c>
    </row>
    <row r="18" s="2" customFormat="1" ht="45.75" customHeight="1" spans="1:14">
      <c r="A18" s="30" t="s">
        <v>320</v>
      </c>
      <c r="B18" s="30"/>
      <c r="C18" s="84"/>
      <c r="D18" s="42"/>
      <c r="E18" s="42"/>
      <c r="F18" s="42"/>
      <c r="G18" s="42"/>
      <c r="I18" s="30" t="s">
        <v>320</v>
      </c>
      <c r="J18" s="30"/>
      <c r="K18" s="84"/>
      <c r="L18" s="42"/>
      <c r="M18" s="42"/>
      <c r="N18" s="42"/>
    </row>
    <row r="19" s="2" customFormat="1" ht="45.75" customHeight="1" spans="1:14">
      <c r="A19" s="19">
        <v>9</v>
      </c>
      <c r="B19" s="20" t="s">
        <v>260</v>
      </c>
      <c r="C19" s="19" t="s">
        <v>422</v>
      </c>
      <c r="D19" s="19">
        <v>15</v>
      </c>
      <c r="E19" s="21">
        <v>15</v>
      </c>
      <c r="F19" s="19">
        <v>15</v>
      </c>
      <c r="G19" s="19"/>
      <c r="I19" s="19">
        <v>9</v>
      </c>
      <c r="J19" s="20" t="s">
        <v>260</v>
      </c>
      <c r="K19" s="19" t="s">
        <v>209</v>
      </c>
      <c r="L19" s="19" t="s">
        <v>205</v>
      </c>
      <c r="M19" s="19" t="s">
        <v>210</v>
      </c>
      <c r="N19" s="19" t="s">
        <v>211</v>
      </c>
    </row>
    <row r="20" s="2" customFormat="1" ht="45.75" customHeight="1" spans="1:14">
      <c r="A20" s="30" t="s">
        <v>120</v>
      </c>
      <c r="B20" s="30"/>
      <c r="C20" s="42"/>
      <c r="D20" s="42"/>
      <c r="E20" s="42"/>
      <c r="F20" s="42"/>
      <c r="G20" s="42"/>
      <c r="I20" s="30" t="s">
        <v>120</v>
      </c>
      <c r="J20" s="30"/>
      <c r="K20" s="84"/>
      <c r="L20" s="42"/>
      <c r="M20" s="42"/>
      <c r="N20" s="42"/>
    </row>
    <row r="21" s="2" customFormat="1" ht="45.75" customHeight="1" spans="1:14">
      <c r="A21" s="19">
        <v>10</v>
      </c>
      <c r="B21" s="20" t="s">
        <v>262</v>
      </c>
      <c r="C21" s="19" t="s">
        <v>422</v>
      </c>
      <c r="D21" s="19">
        <v>20</v>
      </c>
      <c r="E21" s="21">
        <v>20</v>
      </c>
      <c r="F21" s="19">
        <v>20</v>
      </c>
      <c r="G21" s="48"/>
      <c r="I21" s="19">
        <v>10</v>
      </c>
      <c r="J21" s="20" t="s">
        <v>262</v>
      </c>
      <c r="K21" s="19" t="s">
        <v>209</v>
      </c>
      <c r="L21" s="19" t="s">
        <v>205</v>
      </c>
      <c r="M21" s="19" t="s">
        <v>210</v>
      </c>
      <c r="N21" s="19" t="s">
        <v>211</v>
      </c>
    </row>
    <row r="22" s="2" customFormat="1" ht="45.75" customHeight="1" spans="1:14">
      <c r="A22" s="19">
        <v>11</v>
      </c>
      <c r="B22" s="20" t="s">
        <v>351</v>
      </c>
      <c r="C22" s="19" t="s">
        <v>422</v>
      </c>
      <c r="D22" s="19">
        <v>15</v>
      </c>
      <c r="E22" s="21">
        <v>15</v>
      </c>
      <c r="F22" s="19">
        <v>15</v>
      </c>
      <c r="G22" s="85"/>
      <c r="I22" s="19">
        <v>11</v>
      </c>
      <c r="J22" s="20" t="s">
        <v>351</v>
      </c>
      <c r="K22" s="19" t="s">
        <v>209</v>
      </c>
      <c r="L22" s="19" t="s">
        <v>205</v>
      </c>
      <c r="M22" s="19" t="s">
        <v>210</v>
      </c>
      <c r="N22" s="19" t="s">
        <v>211</v>
      </c>
    </row>
    <row r="23" s="2" customFormat="1" ht="45.75" customHeight="1" spans="1:14">
      <c r="A23" s="19">
        <v>12</v>
      </c>
      <c r="B23" s="20" t="s">
        <v>263</v>
      </c>
      <c r="C23" s="19" t="s">
        <v>422</v>
      </c>
      <c r="D23" s="19">
        <v>15</v>
      </c>
      <c r="E23" s="21">
        <v>15</v>
      </c>
      <c r="F23" s="19">
        <v>15</v>
      </c>
      <c r="G23" s="72"/>
      <c r="I23" s="19">
        <v>12</v>
      </c>
      <c r="J23" s="20" t="s">
        <v>263</v>
      </c>
      <c r="K23" s="19" t="s">
        <v>209</v>
      </c>
      <c r="L23" s="19" t="s">
        <v>205</v>
      </c>
      <c r="M23" s="19" t="s">
        <v>210</v>
      </c>
      <c r="N23" s="19" t="s">
        <v>211</v>
      </c>
    </row>
    <row r="24" s="2" customFormat="1" ht="45.75" customHeight="1" spans="1:14">
      <c r="A24" s="19">
        <v>13</v>
      </c>
      <c r="B24" s="20" t="s">
        <v>416</v>
      </c>
      <c r="C24" s="19" t="s">
        <v>422</v>
      </c>
      <c r="D24" s="19">
        <v>5</v>
      </c>
      <c r="E24" s="21">
        <v>5</v>
      </c>
      <c r="F24" s="19">
        <v>5</v>
      </c>
      <c r="G24" s="72"/>
      <c r="I24" s="19">
        <v>13</v>
      </c>
      <c r="J24" s="20" t="s">
        <v>416</v>
      </c>
      <c r="K24" s="19" t="s">
        <v>209</v>
      </c>
      <c r="L24" s="19" t="s">
        <v>205</v>
      </c>
      <c r="M24" s="19" t="s">
        <v>210</v>
      </c>
      <c r="N24" s="19" t="s">
        <v>211</v>
      </c>
    </row>
    <row r="25" s="2" customFormat="1" ht="45.75" customHeight="1" spans="1:14">
      <c r="A25" s="19">
        <v>14</v>
      </c>
      <c r="B25" s="48" t="s">
        <v>431</v>
      </c>
      <c r="C25" s="44" t="s">
        <v>422</v>
      </c>
      <c r="D25" s="19">
        <v>5</v>
      </c>
      <c r="E25" s="21">
        <v>0</v>
      </c>
      <c r="F25" s="19">
        <v>0</v>
      </c>
      <c r="G25" s="72" t="s">
        <v>432</v>
      </c>
      <c r="I25" s="19">
        <v>14</v>
      </c>
      <c r="J25" s="48" t="s">
        <v>431</v>
      </c>
      <c r="K25" s="19" t="s">
        <v>209</v>
      </c>
      <c r="L25" s="19" t="s">
        <v>205</v>
      </c>
      <c r="M25" s="19" t="s">
        <v>210</v>
      </c>
      <c r="N25" s="19" t="s">
        <v>211</v>
      </c>
    </row>
    <row r="26" s="2" customFormat="1" ht="45.75" customHeight="1" spans="1:14">
      <c r="A26" s="30" t="s">
        <v>327</v>
      </c>
      <c r="B26" s="30"/>
      <c r="C26" s="45"/>
      <c r="D26" s="42"/>
      <c r="E26" s="42"/>
      <c r="F26" s="42"/>
      <c r="G26" s="42"/>
      <c r="I26" s="30" t="s">
        <v>327</v>
      </c>
      <c r="J26" s="30"/>
      <c r="K26" s="84"/>
      <c r="L26" s="42"/>
      <c r="M26" s="42"/>
      <c r="N26" s="42"/>
    </row>
    <row r="27" s="2" customFormat="1" ht="45.75" customHeight="1" spans="1:14">
      <c r="A27" s="19">
        <v>15</v>
      </c>
      <c r="B27" s="23" t="s">
        <v>352</v>
      </c>
      <c r="C27" s="19" t="s">
        <v>422</v>
      </c>
      <c r="D27" s="19">
        <v>5</v>
      </c>
      <c r="E27" s="21">
        <v>5</v>
      </c>
      <c r="F27" s="19">
        <v>5</v>
      </c>
      <c r="G27" s="72"/>
      <c r="I27" s="19">
        <v>15</v>
      </c>
      <c r="J27" s="23" t="s">
        <v>352</v>
      </c>
      <c r="K27" s="19" t="s">
        <v>209</v>
      </c>
      <c r="L27" s="19" t="s">
        <v>205</v>
      </c>
      <c r="M27" s="19" t="s">
        <v>210</v>
      </c>
      <c r="N27" s="19" t="s">
        <v>211</v>
      </c>
    </row>
    <row r="28" s="2" customFormat="1" ht="45.75" customHeight="1" spans="1:14">
      <c r="A28" s="19">
        <v>16</v>
      </c>
      <c r="B28" s="23" t="s">
        <v>353</v>
      </c>
      <c r="C28" s="19" t="s">
        <v>422</v>
      </c>
      <c r="D28" s="19">
        <v>5</v>
      </c>
      <c r="E28" s="21">
        <v>5</v>
      </c>
      <c r="F28" s="19">
        <v>5</v>
      </c>
      <c r="G28" s="72"/>
      <c r="I28" s="19">
        <v>16</v>
      </c>
      <c r="J28" s="23" t="s">
        <v>353</v>
      </c>
      <c r="K28" s="19" t="s">
        <v>209</v>
      </c>
      <c r="L28" s="19" t="s">
        <v>205</v>
      </c>
      <c r="M28" s="19" t="s">
        <v>210</v>
      </c>
      <c r="N28" s="19" t="s">
        <v>211</v>
      </c>
    </row>
    <row r="29" s="2" customFormat="1" ht="45.75" customHeight="1" spans="1:14">
      <c r="A29" s="19">
        <v>17</v>
      </c>
      <c r="B29" s="23" t="s">
        <v>329</v>
      </c>
      <c r="C29" s="19" t="s">
        <v>422</v>
      </c>
      <c r="D29" s="19">
        <v>5</v>
      </c>
      <c r="E29" s="21">
        <v>5</v>
      </c>
      <c r="F29" s="19">
        <v>5</v>
      </c>
      <c r="G29" s="19"/>
      <c r="I29" s="19">
        <v>17</v>
      </c>
      <c r="J29" s="23" t="s">
        <v>329</v>
      </c>
      <c r="K29" s="19" t="s">
        <v>209</v>
      </c>
      <c r="L29" s="19" t="s">
        <v>205</v>
      </c>
      <c r="M29" s="19" t="s">
        <v>210</v>
      </c>
      <c r="N29" s="19" t="s">
        <v>211</v>
      </c>
    </row>
    <row r="30" s="2" customFormat="1" ht="45.75" customHeight="1" spans="1:14">
      <c r="A30" s="19">
        <v>18</v>
      </c>
      <c r="B30" s="23" t="s">
        <v>330</v>
      </c>
      <c r="C30" s="19" t="s">
        <v>422</v>
      </c>
      <c r="D30" s="19">
        <v>5</v>
      </c>
      <c r="E30" s="21">
        <v>5</v>
      </c>
      <c r="F30" s="19">
        <v>5</v>
      </c>
      <c r="G30" s="19"/>
      <c r="I30" s="19">
        <v>18</v>
      </c>
      <c r="J30" s="23" t="s">
        <v>330</v>
      </c>
      <c r="K30" s="19" t="s">
        <v>209</v>
      </c>
      <c r="L30" s="19" t="s">
        <v>205</v>
      </c>
      <c r="M30" s="19" t="s">
        <v>210</v>
      </c>
      <c r="N30" s="19" t="s">
        <v>211</v>
      </c>
    </row>
    <row r="31" s="2" customFormat="1" ht="45.75" customHeight="1" spans="1:14">
      <c r="A31" s="30" t="s">
        <v>305</v>
      </c>
      <c r="B31" s="30"/>
      <c r="C31" s="42"/>
      <c r="D31" s="42">
        <v>0</v>
      </c>
      <c r="E31" s="42"/>
      <c r="F31" s="42"/>
      <c r="G31" s="42"/>
      <c r="I31" s="30" t="s">
        <v>305</v>
      </c>
      <c r="J31" s="30"/>
      <c r="K31" s="84"/>
      <c r="L31" s="42"/>
      <c r="M31" s="42"/>
      <c r="N31" s="42"/>
    </row>
    <row r="32" s="2" customFormat="1" ht="45.75" customHeight="1" spans="1:14">
      <c r="A32" s="19">
        <v>19</v>
      </c>
      <c r="B32" s="48" t="s">
        <v>374</v>
      </c>
      <c r="C32" s="19" t="s">
        <v>422</v>
      </c>
      <c r="D32" s="19">
        <v>5</v>
      </c>
      <c r="E32" s="21">
        <v>5</v>
      </c>
      <c r="F32" s="19">
        <v>5</v>
      </c>
      <c r="G32" s="19"/>
      <c r="I32" s="19">
        <v>20</v>
      </c>
      <c r="J32" s="48" t="s">
        <v>374</v>
      </c>
      <c r="K32" s="19" t="s">
        <v>209</v>
      </c>
      <c r="L32" s="19" t="s">
        <v>205</v>
      </c>
      <c r="M32" s="19" t="s">
        <v>210</v>
      </c>
      <c r="N32" s="19" t="s">
        <v>211</v>
      </c>
    </row>
    <row r="33" s="2" customFormat="1" ht="45.75" customHeight="1" spans="1:14">
      <c r="A33" s="19">
        <v>20</v>
      </c>
      <c r="B33" s="23" t="s">
        <v>306</v>
      </c>
      <c r="C33" s="19" t="s">
        <v>422</v>
      </c>
      <c r="D33" s="19">
        <v>5</v>
      </c>
      <c r="E33" s="21">
        <v>5</v>
      </c>
      <c r="F33" s="19">
        <v>5</v>
      </c>
      <c r="G33" s="19"/>
      <c r="I33" s="50">
        <v>22</v>
      </c>
      <c r="J33" s="51" t="s">
        <v>306</v>
      </c>
      <c r="K33" s="50" t="s">
        <v>209</v>
      </c>
      <c r="L33" s="50" t="s">
        <v>205</v>
      </c>
      <c r="M33" s="50" t="s">
        <v>210</v>
      </c>
      <c r="N33" s="50" t="s">
        <v>211</v>
      </c>
    </row>
    <row r="34" s="2" customFormat="1" ht="45.75" customHeight="1" spans="1:14">
      <c r="A34" s="19">
        <v>21</v>
      </c>
      <c r="B34" s="86" t="s">
        <v>362</v>
      </c>
      <c r="C34" s="19" t="s">
        <v>422</v>
      </c>
      <c r="D34" s="19">
        <v>5</v>
      </c>
      <c r="E34" s="21">
        <v>5</v>
      </c>
      <c r="F34" s="19">
        <v>5</v>
      </c>
      <c r="G34" s="19"/>
      <c r="I34" s="52"/>
      <c r="J34" s="53"/>
      <c r="K34" s="52"/>
      <c r="L34" s="52"/>
      <c r="M34" s="52"/>
      <c r="N34" s="52"/>
    </row>
    <row r="35" s="2" customFormat="1" ht="45.75" customHeight="1" spans="1:14">
      <c r="A35" s="23"/>
      <c r="B35" s="76" t="s">
        <v>270</v>
      </c>
      <c r="C35" s="19"/>
      <c r="D35" s="21">
        <f>SUM(D5:D34)</f>
        <v>205</v>
      </c>
      <c r="E35" s="21">
        <f>E7+E8+E9+E10+E12+E14+E16+E17+E19+E21+E22+E23+E24+E25+E27+E28+E29+E30+E32+E33+E34</f>
        <v>190</v>
      </c>
      <c r="F35" s="21">
        <f>F7+F8+F9+F10+F12+F14+F16+F17+F19+F21+F22+F23+F24+F25+F27+F28+F29+F30+F32+F33+F34</f>
        <v>190</v>
      </c>
      <c r="G35" s="19"/>
      <c r="I35" s="52"/>
      <c r="J35" s="87"/>
      <c r="K35" s="52"/>
      <c r="L35" s="52"/>
      <c r="M35" s="52"/>
      <c r="N35" s="52"/>
    </row>
    <row r="36" s="2" customFormat="1" ht="45.75" customHeight="1" spans="1:14">
      <c r="A36" s="64"/>
      <c r="B36" s="65" t="s">
        <v>271</v>
      </c>
      <c r="C36" s="19"/>
      <c r="D36" s="19">
        <f>(D35/D35)*100</f>
        <v>100</v>
      </c>
      <c r="E36" s="26">
        <f>+E35/D35*100</f>
        <v>92.6829268292683</v>
      </c>
      <c r="F36" s="27">
        <f>+F35/D35*100</f>
        <v>92.6829268292683</v>
      </c>
      <c r="G36" s="19"/>
      <c r="I36" s="4"/>
      <c r="K36" s="4"/>
      <c r="L36" s="4"/>
      <c r="M36" s="4"/>
      <c r="N36" s="4"/>
    </row>
    <row r="37" s="2" customFormat="1" ht="45.75" customHeight="1" spans="1:14">
      <c r="A37" s="3"/>
      <c r="B37" s="3"/>
      <c r="C37" s="4"/>
      <c r="D37" s="4"/>
      <c r="E37" s="4"/>
      <c r="F37" s="4" t="s">
        <v>40</v>
      </c>
      <c r="G37" s="4"/>
      <c r="J37" s="79"/>
      <c r="K37" s="4"/>
      <c r="L37" s="4"/>
      <c r="M37" s="4"/>
      <c r="N37" s="4"/>
    </row>
    <row r="38" s="2" customFormat="1" ht="45.75" customHeight="1" spans="1:14">
      <c r="A38" s="3"/>
      <c r="B38" s="3"/>
      <c r="C38" s="4"/>
      <c r="D38" s="4"/>
      <c r="E38" s="4"/>
      <c r="F38" s="4"/>
      <c r="G38" s="4"/>
      <c r="I38" s="3"/>
      <c r="J38" s="69"/>
      <c r="K38" s="4"/>
      <c r="L38" s="4"/>
      <c r="M38" s="58"/>
      <c r="N38" s="4"/>
    </row>
    <row r="39" s="2" customFormat="1" ht="42" customHeight="1" spans="1:7">
      <c r="A39" s="3"/>
      <c r="C39" s="4"/>
      <c r="D39" s="4"/>
      <c r="E39" s="4"/>
      <c r="F39" s="4"/>
      <c r="G39" s="4"/>
    </row>
    <row r="40" s="2" customFormat="1" ht="42" customHeight="1" spans="1:7">
      <c r="A40" s="3"/>
      <c r="B40" s="3"/>
      <c r="C40" s="4"/>
      <c r="D40" s="4"/>
      <c r="E40" s="4"/>
      <c r="F40" s="4"/>
      <c r="G40" s="4"/>
    </row>
    <row r="41" s="2" customFormat="1" ht="39.75" customHeight="1" spans="1:7">
      <c r="A41" s="3"/>
      <c r="B41" s="3"/>
      <c r="C41" s="4"/>
      <c r="D41" s="4"/>
      <c r="E41" s="4"/>
      <c r="F41" s="4"/>
      <c r="G41" s="4"/>
    </row>
    <row r="42" s="2" customFormat="1" ht="33" customHeight="1" spans="1:7">
      <c r="A42" s="3"/>
      <c r="B42" s="3"/>
      <c r="C42" s="4"/>
      <c r="D42" s="4"/>
      <c r="E42" s="4"/>
      <c r="F42" s="4"/>
      <c r="G42" s="4"/>
    </row>
    <row r="43" s="2" customFormat="1" ht="51" customHeight="1" spans="1:7">
      <c r="A43" s="3"/>
      <c r="B43" s="3"/>
      <c r="C43" s="4"/>
      <c r="D43" s="4"/>
      <c r="E43" s="4"/>
      <c r="F43" s="4"/>
      <c r="G43" s="4"/>
    </row>
    <row r="44" s="2" customFormat="1" ht="40.5" customHeight="1" spans="1:7">
      <c r="A44" s="3"/>
      <c r="B44" s="3"/>
      <c r="C44" s="4"/>
      <c r="D44" s="4"/>
      <c r="E44" s="4"/>
      <c r="F44" s="4"/>
      <c r="G44" s="4"/>
    </row>
    <row r="45" s="2" customFormat="1" ht="34.5" customHeight="1" spans="1:7">
      <c r="A45" s="3"/>
      <c r="B45" s="3"/>
      <c r="C45" s="4"/>
      <c r="D45" s="4"/>
      <c r="E45" s="4"/>
      <c r="F45" s="4"/>
      <c r="G45" s="4"/>
    </row>
    <row r="46" s="2" customFormat="1" ht="34.5" customHeight="1" spans="1:7">
      <c r="A46" s="3"/>
      <c r="B46" s="3"/>
      <c r="C46" s="4"/>
      <c r="D46" s="4"/>
      <c r="E46" s="4"/>
      <c r="F46" s="4"/>
      <c r="G46" s="4"/>
    </row>
    <row r="47" s="2" customFormat="1" ht="34.5" customHeight="1" spans="1:7">
      <c r="A47" s="3"/>
      <c r="B47" s="3"/>
      <c r="C47" s="4"/>
      <c r="D47" s="4"/>
      <c r="E47" s="4"/>
      <c r="F47" s="4"/>
      <c r="G47" s="4"/>
    </row>
    <row r="48" s="2" customFormat="1" ht="31.5" customHeight="1" spans="1:7">
      <c r="A48" s="3"/>
      <c r="B48" s="3"/>
      <c r="C48" s="4"/>
      <c r="D48" s="4"/>
      <c r="E48" s="4"/>
      <c r="F48" s="4"/>
      <c r="G48" s="4"/>
    </row>
    <row r="49" s="2" customFormat="1" ht="34.5" customHeight="1" spans="1:7">
      <c r="A49" s="3"/>
      <c r="B49" s="3"/>
      <c r="C49" s="4"/>
      <c r="D49" s="4"/>
      <c r="E49" s="4"/>
      <c r="F49" s="4"/>
      <c r="G49" s="4"/>
    </row>
    <row r="50" s="2" customFormat="1" ht="42" customHeight="1" spans="1:7">
      <c r="A50" s="3"/>
      <c r="B50" s="3"/>
      <c r="C50" s="4"/>
      <c r="D50" s="4"/>
      <c r="E50" s="4"/>
      <c r="F50" s="4"/>
      <c r="G50" s="4"/>
    </row>
    <row r="51" s="2" customFormat="1" ht="42" customHeight="1" spans="1:7">
      <c r="A51" s="3"/>
      <c r="B51" s="3"/>
      <c r="C51" s="4"/>
      <c r="D51" s="4"/>
      <c r="E51" s="4"/>
      <c r="F51" s="4"/>
      <c r="G51" s="4"/>
    </row>
    <row r="52" s="2" customFormat="1" ht="42" customHeight="1" spans="1:7">
      <c r="A52" s="3"/>
      <c r="B52" s="3"/>
      <c r="C52" s="4"/>
      <c r="D52" s="4"/>
      <c r="E52" s="4"/>
      <c r="F52" s="4"/>
      <c r="G52" s="4"/>
    </row>
    <row r="53" s="2" customFormat="1" ht="61.5" customHeight="1" spans="1:7">
      <c r="A53" s="3"/>
      <c r="B53" s="3"/>
      <c r="C53" s="4"/>
      <c r="D53" s="4"/>
      <c r="E53" s="4"/>
      <c r="F53" s="4"/>
      <c r="G53" s="4"/>
    </row>
    <row r="54" s="2" customFormat="1" ht="42" customHeight="1" spans="1:7">
      <c r="A54" s="3"/>
      <c r="B54" s="3"/>
      <c r="C54" s="4"/>
      <c r="D54" s="4"/>
      <c r="E54" s="4"/>
      <c r="F54" s="4"/>
      <c r="G54" s="4"/>
    </row>
    <row r="55" s="2" customFormat="1" ht="45" customHeight="1" spans="1:7">
      <c r="A55" s="3"/>
      <c r="B55" s="3"/>
      <c r="C55" s="4"/>
      <c r="D55" s="4"/>
      <c r="E55" s="4"/>
      <c r="F55" s="4"/>
      <c r="G55" s="4"/>
    </row>
    <row r="56" s="2" customFormat="1" ht="37.5" customHeight="1" spans="1:7">
      <c r="A56" s="3"/>
      <c r="B56" s="3"/>
      <c r="C56" s="4"/>
      <c r="D56" s="4"/>
      <c r="E56" s="4"/>
      <c r="F56" s="4"/>
      <c r="G56" s="4"/>
    </row>
    <row r="57" s="2" customFormat="1" ht="30" customHeight="1" spans="1:7">
      <c r="A57" s="3"/>
      <c r="B57" s="3"/>
      <c r="C57" s="4"/>
      <c r="D57" s="4"/>
      <c r="E57" s="4"/>
      <c r="F57" s="4"/>
      <c r="G57" s="4"/>
    </row>
    <row r="58" s="2" customFormat="1" ht="39.75" customHeight="1" spans="1:7">
      <c r="A58" s="3"/>
      <c r="B58" s="3"/>
      <c r="C58" s="4"/>
      <c r="D58" s="4"/>
      <c r="E58" s="4"/>
      <c r="F58" s="4"/>
      <c r="G58" s="4"/>
    </row>
    <row r="59" s="2" customFormat="1" ht="30" customHeight="1" spans="1:7">
      <c r="A59" s="3"/>
      <c r="B59" s="3"/>
      <c r="C59" s="4"/>
      <c r="D59" s="4"/>
      <c r="E59" s="4"/>
      <c r="F59" s="4"/>
      <c r="G59" s="4"/>
    </row>
    <row r="60" s="2" customFormat="1" ht="30" customHeight="1" spans="1:7">
      <c r="A60" s="3"/>
      <c r="B60" s="3"/>
      <c r="C60" s="4"/>
      <c r="D60" s="4"/>
      <c r="E60" s="4"/>
      <c r="F60" s="4"/>
      <c r="G60" s="4"/>
    </row>
    <row r="61" s="2" customFormat="1" ht="30" customHeight="1" spans="1:7">
      <c r="A61" s="3"/>
      <c r="B61" s="3"/>
      <c r="C61" s="4"/>
      <c r="D61" s="4"/>
      <c r="E61" s="4"/>
      <c r="F61" s="4"/>
      <c r="G61" s="4"/>
    </row>
    <row r="62" s="2" customFormat="1" ht="30" customHeight="1" spans="1:7">
      <c r="A62" s="3"/>
      <c r="B62" s="3"/>
      <c r="C62" s="4"/>
      <c r="D62" s="4"/>
      <c r="E62" s="4"/>
      <c r="F62" s="4"/>
      <c r="G62" s="4"/>
    </row>
    <row r="63" s="2" customFormat="1" ht="30" customHeight="1" spans="1:7">
      <c r="A63" s="3"/>
      <c r="B63" s="3"/>
      <c r="C63" s="4"/>
      <c r="D63" s="4"/>
      <c r="E63" s="4"/>
      <c r="F63" s="4"/>
      <c r="G63" s="4"/>
    </row>
    <row r="64" s="2" customFormat="1" ht="30" customHeight="1" spans="1:7">
      <c r="A64" s="3"/>
      <c r="B64" s="3"/>
      <c r="C64" s="4"/>
      <c r="D64" s="4"/>
      <c r="E64" s="4"/>
      <c r="F64" s="4"/>
      <c r="G64" s="4"/>
    </row>
    <row r="65" s="2" customFormat="1" ht="30" customHeight="1" spans="1:7">
      <c r="A65" s="3"/>
      <c r="B65" s="3"/>
      <c r="C65" s="4"/>
      <c r="D65" s="4"/>
      <c r="E65" s="4"/>
      <c r="F65" s="4"/>
      <c r="G65" s="4"/>
    </row>
    <row r="66" s="2" customFormat="1" ht="39.75" customHeight="1" spans="1:7">
      <c r="A66" s="3"/>
      <c r="B66" s="3"/>
      <c r="C66" s="4"/>
      <c r="D66" s="4"/>
      <c r="E66" s="4"/>
      <c r="F66" s="4"/>
      <c r="G66" s="4"/>
    </row>
    <row r="67" s="2" customFormat="1" ht="39.75" customHeight="1" spans="1:7">
      <c r="A67" s="3"/>
      <c r="B67" s="3"/>
      <c r="C67" s="4"/>
      <c r="D67" s="4"/>
      <c r="E67" s="4"/>
      <c r="F67" s="4"/>
      <c r="G67" s="4"/>
    </row>
    <row r="68" s="2" customFormat="1" ht="39.75" customHeight="1" spans="1:7">
      <c r="A68" s="3"/>
      <c r="B68" s="3"/>
      <c r="C68" s="4"/>
      <c r="D68" s="4"/>
      <c r="E68" s="4"/>
      <c r="F68" s="4"/>
      <c r="G68" s="4"/>
    </row>
    <row r="69" s="2" customFormat="1" ht="39.75" customHeight="1" spans="1:7">
      <c r="A69" s="3"/>
      <c r="B69" s="3"/>
      <c r="C69" s="4"/>
      <c r="D69" s="4"/>
      <c r="E69" s="4"/>
      <c r="F69" s="4"/>
      <c r="G69" s="4"/>
    </row>
    <row r="70" s="2" customFormat="1" ht="33.75" customHeight="1" spans="1:7">
      <c r="A70" s="3"/>
      <c r="B70" s="3"/>
      <c r="C70" s="4"/>
      <c r="D70" s="4"/>
      <c r="E70" s="4"/>
      <c r="F70" s="4"/>
      <c r="G70" s="4"/>
    </row>
    <row r="71" s="2" customFormat="1" ht="30" customHeight="1" spans="1:7">
      <c r="A71" s="3"/>
      <c r="B71" s="3"/>
      <c r="C71" s="4"/>
      <c r="D71" s="4"/>
      <c r="E71" s="4"/>
      <c r="F71" s="4"/>
      <c r="G71" s="4"/>
    </row>
    <row r="72" s="2" customFormat="1" ht="30" customHeight="1" spans="1:7">
      <c r="A72" s="3"/>
      <c r="B72" s="3"/>
      <c r="C72" s="4"/>
      <c r="D72" s="4"/>
      <c r="E72" s="4"/>
      <c r="F72" s="4"/>
      <c r="G72" s="4"/>
    </row>
    <row r="73" s="2" customFormat="1" ht="30" customHeight="1" spans="1:7">
      <c r="A73" s="3"/>
      <c r="B73" s="3"/>
      <c r="C73" s="4"/>
      <c r="D73" s="4"/>
      <c r="E73" s="4"/>
      <c r="F73" s="4"/>
      <c r="G73" s="4"/>
    </row>
    <row r="74" s="2" customFormat="1" ht="30" customHeight="1" spans="1:7">
      <c r="A74" s="3"/>
      <c r="B74" s="3"/>
      <c r="C74" s="4"/>
      <c r="D74" s="4"/>
      <c r="E74" s="4"/>
      <c r="F74" s="4"/>
      <c r="G74" s="4"/>
    </row>
    <row r="75" s="2" customFormat="1" ht="30" customHeight="1" spans="1:7">
      <c r="A75" s="3"/>
      <c r="B75" s="3"/>
      <c r="C75" s="4"/>
      <c r="D75" s="4"/>
      <c r="E75" s="4"/>
      <c r="F75" s="4"/>
      <c r="G75" s="4"/>
    </row>
    <row r="76" s="2" customFormat="1" ht="30" customHeight="1" spans="1:7">
      <c r="A76" s="3"/>
      <c r="B76" s="3"/>
      <c r="C76" s="4"/>
      <c r="D76" s="4"/>
      <c r="E76" s="4"/>
      <c r="F76" s="4"/>
      <c r="G76" s="4"/>
    </row>
    <row r="77" s="2" customFormat="1" ht="30" customHeight="1" spans="1:7">
      <c r="A77" s="3"/>
      <c r="B77" s="3"/>
      <c r="C77" s="4"/>
      <c r="D77" s="4"/>
      <c r="E77" s="4"/>
      <c r="F77" s="4"/>
      <c r="G77" s="4"/>
    </row>
    <row r="78" s="2" customFormat="1" ht="30" customHeight="1" spans="1:7">
      <c r="A78" s="3"/>
      <c r="B78" s="3"/>
      <c r="C78" s="4"/>
      <c r="D78" s="4"/>
      <c r="E78" s="4"/>
      <c r="F78" s="4"/>
      <c r="G78" s="4"/>
    </row>
    <row r="79" s="2" customFormat="1" ht="30" customHeight="1" spans="1:7">
      <c r="A79" s="3"/>
      <c r="B79" s="3"/>
      <c r="C79" s="4"/>
      <c r="D79" s="4"/>
      <c r="E79" s="4"/>
      <c r="F79" s="4"/>
      <c r="G79" s="4"/>
    </row>
    <row r="80" s="2" customFormat="1" ht="30" customHeight="1" spans="1:7">
      <c r="A80" s="3"/>
      <c r="B80" s="3"/>
      <c r="C80" s="4"/>
      <c r="D80" s="4"/>
      <c r="E80" s="4"/>
      <c r="F80" s="4"/>
      <c r="G80" s="4"/>
    </row>
    <row r="81" s="2" customFormat="1" ht="30" customHeight="1" spans="1:7">
      <c r="A81" s="3"/>
      <c r="B81" s="3"/>
      <c r="C81" s="4"/>
      <c r="D81" s="4"/>
      <c r="E81" s="4"/>
      <c r="F81" s="4"/>
      <c r="G81" s="4"/>
    </row>
    <row r="82" s="2" customFormat="1" ht="30" customHeight="1" spans="1:7">
      <c r="A82" s="3"/>
      <c r="B82" s="3"/>
      <c r="C82" s="4"/>
      <c r="D82" s="4"/>
      <c r="E82" s="4"/>
      <c r="F82" s="4"/>
      <c r="G82" s="4"/>
    </row>
    <row r="83" s="2" customFormat="1" ht="30" customHeight="1" spans="1:7">
      <c r="A83" s="3"/>
      <c r="B83" s="3"/>
      <c r="C83" s="4"/>
      <c r="D83" s="4"/>
      <c r="E83" s="4"/>
      <c r="F83" s="4"/>
      <c r="G83" s="4"/>
    </row>
    <row r="84" s="2" customFormat="1" ht="30" customHeight="1" spans="1:7">
      <c r="A84" s="3"/>
      <c r="B84" s="3"/>
      <c r="C84" s="4"/>
      <c r="D84" s="4"/>
      <c r="E84" s="4"/>
      <c r="F84" s="4"/>
      <c r="G84" s="4"/>
    </row>
    <row r="85" s="2" customFormat="1" ht="30" customHeight="1" spans="1:7">
      <c r="A85" s="3"/>
      <c r="B85" s="3"/>
      <c r="C85" s="4"/>
      <c r="D85" s="4"/>
      <c r="E85" s="4"/>
      <c r="F85" s="4"/>
      <c r="G85" s="4"/>
    </row>
    <row r="86" s="2" customFormat="1" ht="30" customHeight="1" spans="1:7">
      <c r="A86" s="3"/>
      <c r="B86" s="3"/>
      <c r="C86" s="4"/>
      <c r="D86" s="4"/>
      <c r="E86" s="4"/>
      <c r="F86" s="4"/>
      <c r="G86" s="4"/>
    </row>
    <row r="87" s="2" customFormat="1" ht="30" customHeight="1" spans="1:7">
      <c r="A87" s="3"/>
      <c r="B87" s="3"/>
      <c r="C87" s="4"/>
      <c r="D87" s="4"/>
      <c r="E87" s="4"/>
      <c r="F87" s="4"/>
      <c r="G87" s="4"/>
    </row>
    <row r="88" s="2" customFormat="1" ht="30" customHeight="1" spans="1:7">
      <c r="A88" s="3"/>
      <c r="B88" s="3"/>
      <c r="C88" s="4"/>
      <c r="D88" s="4"/>
      <c r="E88" s="4"/>
      <c r="F88" s="4"/>
      <c r="G88" s="4"/>
    </row>
    <row r="89" s="2" customFormat="1" ht="30" customHeight="1" spans="1:7">
      <c r="A89" s="3"/>
      <c r="B89" s="3"/>
      <c r="C89" s="4"/>
      <c r="D89" s="4"/>
      <c r="E89" s="4"/>
      <c r="F89" s="4"/>
      <c r="G89" s="4"/>
    </row>
    <row r="90" s="2" customFormat="1" ht="31.5" customHeight="1" spans="1:7">
      <c r="A90" s="3"/>
      <c r="B90" s="3"/>
      <c r="C90" s="4"/>
      <c r="D90" s="4"/>
      <c r="E90" s="4"/>
      <c r="F90" s="4"/>
      <c r="G90" s="4"/>
    </row>
    <row r="91" s="2" customFormat="1" ht="30" customHeight="1" spans="1:7">
      <c r="A91" s="3"/>
      <c r="B91" s="3"/>
      <c r="C91" s="4"/>
      <c r="D91" s="4"/>
      <c r="E91" s="4"/>
      <c r="F91" s="4"/>
      <c r="G91" s="4"/>
    </row>
    <row r="92" s="2" customFormat="1" ht="30" customHeight="1" spans="1:8">
      <c r="A92" s="3"/>
      <c r="B92" s="3"/>
      <c r="C92" s="4"/>
      <c r="D92" s="4"/>
      <c r="E92" s="4"/>
      <c r="F92" s="4"/>
      <c r="G92" s="4"/>
      <c r="H92" s="3"/>
    </row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</sheetData>
  <autoFilter ref="A5:H101">
    <extLst/>
  </autoFilter>
  <mergeCells count="25">
    <mergeCell ref="A2:E2"/>
    <mergeCell ref="A4:E4"/>
    <mergeCell ref="I4:M4"/>
    <mergeCell ref="A5:B5"/>
    <mergeCell ref="I5:J5"/>
    <mergeCell ref="A6:B6"/>
    <mergeCell ref="I6:J6"/>
    <mergeCell ref="Q7:R7"/>
    <mergeCell ref="Q8:R8"/>
    <mergeCell ref="Q9:R9"/>
    <mergeCell ref="Q10:R10"/>
    <mergeCell ref="A11:B11"/>
    <mergeCell ref="I11:J11"/>
    <mergeCell ref="A13:B13"/>
    <mergeCell ref="I13:J13"/>
    <mergeCell ref="A15:B15"/>
    <mergeCell ref="I15:J15"/>
    <mergeCell ref="A18:B18"/>
    <mergeCell ref="I18:J18"/>
    <mergeCell ref="A20:B20"/>
    <mergeCell ref="I20:J20"/>
    <mergeCell ref="A26:B26"/>
    <mergeCell ref="I26:J26"/>
    <mergeCell ref="A31:B31"/>
    <mergeCell ref="I31:J31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94"/>
  <sheetViews>
    <sheetView zoomScale="80" zoomScaleNormal="80" workbookViewId="0">
      <pane ySplit="5" topLeftCell="A27" activePane="bottomLeft" state="frozen"/>
      <selection/>
      <selection pane="bottomLeft" activeCell="F10" sqref="F10"/>
    </sheetView>
  </sheetViews>
  <sheetFormatPr defaultColWidth="8.88888888888889" defaultRowHeight="15.6"/>
  <cols>
    <col min="1" max="1" width="8.88888888888889" style="3"/>
    <col min="2" max="2" width="3.88888888888889" style="4" customWidth="1"/>
    <col min="3" max="3" width="73.1111111111111" style="3" customWidth="1"/>
    <col min="4" max="4" width="14.1111111111111" style="3" customWidth="1"/>
    <col min="5" max="7" width="14.1111111111111" style="5" customWidth="1"/>
    <col min="8" max="8" width="45.1111111111111" style="3" customWidth="1"/>
    <col min="9" max="9" width="11.8888888888889" style="3" customWidth="1"/>
    <col min="10" max="10" width="3.88888888888889" style="3" customWidth="1"/>
    <col min="11" max="11" width="72.7777777777778" style="3" customWidth="1"/>
    <col min="12" max="15" width="14.6666666666667" style="3" customWidth="1"/>
    <col min="16" max="16384" width="8.88888888888889" style="3"/>
  </cols>
  <sheetData>
    <row r="1" ht="15" customHeight="1" spans="5:5">
      <c r="E1" s="6"/>
    </row>
    <row r="2" ht="15" customHeight="1" spans="2:7">
      <c r="B2" s="68"/>
      <c r="C2" s="68"/>
      <c r="D2" s="68"/>
      <c r="E2" s="68"/>
      <c r="F2" s="68"/>
      <c r="G2" s="7"/>
    </row>
    <row r="3" ht="15" customHeight="1" spans="5:5">
      <c r="E3" s="6"/>
    </row>
    <row r="4" ht="30" customHeight="1" spans="2:15">
      <c r="B4" s="70" t="s">
        <v>433</v>
      </c>
      <c r="C4" s="70"/>
      <c r="D4" s="70"/>
      <c r="E4" s="70"/>
      <c r="F4" s="70"/>
      <c r="G4" s="70"/>
      <c r="H4" s="70"/>
      <c r="I4" s="68"/>
      <c r="J4" s="70" t="s">
        <v>434</v>
      </c>
      <c r="K4" s="70"/>
      <c r="L4" s="70"/>
      <c r="M4" s="70"/>
      <c r="N4" s="70"/>
      <c r="O4" s="70"/>
    </row>
    <row r="5" ht="30" customHeight="1" spans="2:15">
      <c r="B5" s="10" t="s">
        <v>194</v>
      </c>
      <c r="C5" s="10"/>
      <c r="D5" s="10" t="s">
        <v>195</v>
      </c>
      <c r="E5" s="39" t="s">
        <v>196</v>
      </c>
      <c r="F5" s="40" t="s">
        <v>197</v>
      </c>
      <c r="G5" s="59" t="s">
        <v>198</v>
      </c>
      <c r="H5" s="39" t="s">
        <v>199</v>
      </c>
      <c r="I5" s="54"/>
      <c r="J5" s="10" t="s">
        <v>194</v>
      </c>
      <c r="K5" s="10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6"/>
      <c r="E6" s="15"/>
      <c r="F6" s="17"/>
      <c r="G6" s="17"/>
      <c r="H6" s="71"/>
      <c r="I6" s="77"/>
      <c r="J6" s="14" t="s">
        <v>200</v>
      </c>
      <c r="K6" s="14"/>
      <c r="L6" s="30" t="s">
        <v>435</v>
      </c>
      <c r="M6" s="30" t="s">
        <v>436</v>
      </c>
      <c r="N6" s="30" t="s">
        <v>277</v>
      </c>
      <c r="O6" s="30" t="s">
        <v>278</v>
      </c>
    </row>
    <row r="7" s="2" customFormat="1" ht="45.75" customHeight="1" spans="2:19">
      <c r="B7" s="19">
        <v>1</v>
      </c>
      <c r="C7" s="20" t="s">
        <v>295</v>
      </c>
      <c r="D7" s="19" t="s">
        <v>31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205</v>
      </c>
      <c r="M7" s="19" t="s">
        <v>209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5.75" customHeight="1" spans="2:19">
      <c r="B8" s="19">
        <v>2</v>
      </c>
      <c r="C8" s="20" t="s">
        <v>247</v>
      </c>
      <c r="D8" s="19" t="s">
        <v>31</v>
      </c>
      <c r="E8" s="19">
        <v>10</v>
      </c>
      <c r="F8" s="21">
        <v>10</v>
      </c>
      <c r="G8" s="19">
        <v>10</v>
      </c>
      <c r="H8" s="72"/>
      <c r="J8" s="19">
        <v>2</v>
      </c>
      <c r="K8" s="20" t="s">
        <v>247</v>
      </c>
      <c r="L8" s="19" t="s">
        <v>205</v>
      </c>
      <c r="M8" s="19" t="s">
        <v>209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5.75" customHeight="1" spans="2:19">
      <c r="B9" s="19">
        <v>3</v>
      </c>
      <c r="C9" s="41" t="s">
        <v>343</v>
      </c>
      <c r="D9" s="19" t="s">
        <v>31</v>
      </c>
      <c r="E9" s="19">
        <v>10</v>
      </c>
      <c r="F9" s="21">
        <v>10</v>
      </c>
      <c r="G9" s="19">
        <v>10</v>
      </c>
      <c r="H9" s="23"/>
      <c r="J9" s="19">
        <v>3</v>
      </c>
      <c r="K9" s="41" t="s">
        <v>343</v>
      </c>
      <c r="L9" s="19" t="s">
        <v>205</v>
      </c>
      <c r="M9" s="19" t="s">
        <v>209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5.75" customHeight="1" spans="2:19">
      <c r="B10" s="19">
        <v>4</v>
      </c>
      <c r="C10" s="20" t="s">
        <v>315</v>
      </c>
      <c r="D10" s="19" t="s">
        <v>31</v>
      </c>
      <c r="E10" s="19">
        <v>10</v>
      </c>
      <c r="F10" s="21">
        <v>10</v>
      </c>
      <c r="G10" s="19">
        <v>10</v>
      </c>
      <c r="H10" s="23"/>
      <c r="J10" s="19">
        <v>4</v>
      </c>
      <c r="K10" s="20" t="s">
        <v>315</v>
      </c>
      <c r="L10" s="19" t="s">
        <v>205</v>
      </c>
      <c r="M10" s="19" t="s">
        <v>209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5.75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3"/>
    </row>
    <row r="12" s="2" customFormat="1" ht="45.75" customHeight="1" spans="2:15">
      <c r="B12" s="19">
        <v>5</v>
      </c>
      <c r="C12" s="20" t="s">
        <v>317</v>
      </c>
      <c r="D12" s="19" t="s">
        <v>31</v>
      </c>
      <c r="E12" s="19">
        <v>10</v>
      </c>
      <c r="F12" s="21">
        <v>10</v>
      </c>
      <c r="G12" s="19">
        <v>10</v>
      </c>
      <c r="H12" s="23"/>
      <c r="J12" s="19">
        <v>5</v>
      </c>
      <c r="K12" s="20" t="s">
        <v>317</v>
      </c>
      <c r="L12" s="19" t="s">
        <v>205</v>
      </c>
      <c r="M12" s="19" t="s">
        <v>209</v>
      </c>
      <c r="N12" s="19" t="s">
        <v>210</v>
      </c>
      <c r="O12" s="19" t="s">
        <v>211</v>
      </c>
    </row>
    <row r="13" s="2" customFormat="1" ht="45.75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3"/>
    </row>
    <row r="14" s="2" customFormat="1" ht="45.75" customHeight="1" spans="2:15">
      <c r="B14" s="44">
        <v>6</v>
      </c>
      <c r="C14" s="20" t="s">
        <v>253</v>
      </c>
      <c r="D14" s="19" t="s">
        <v>31</v>
      </c>
      <c r="E14" s="19">
        <v>10</v>
      </c>
      <c r="F14" s="21">
        <v>10</v>
      </c>
      <c r="G14" s="19">
        <v>10</v>
      </c>
      <c r="H14" s="20"/>
      <c r="J14" s="44">
        <v>6</v>
      </c>
      <c r="K14" s="20" t="s">
        <v>253</v>
      </c>
      <c r="L14" s="19" t="s">
        <v>205</v>
      </c>
      <c r="M14" s="19" t="s">
        <v>209</v>
      </c>
      <c r="N14" s="19" t="s">
        <v>210</v>
      </c>
      <c r="O14" s="19" t="s">
        <v>211</v>
      </c>
    </row>
    <row r="15" s="2" customFormat="1" ht="45.75" customHeight="1" spans="2:15">
      <c r="B15" s="30" t="s">
        <v>346</v>
      </c>
      <c r="C15" s="30"/>
      <c r="D15" s="42"/>
      <c r="E15" s="42"/>
      <c r="F15" s="42"/>
      <c r="G15" s="42"/>
      <c r="H15" s="43"/>
      <c r="J15" s="30" t="s">
        <v>346</v>
      </c>
      <c r="K15" s="30"/>
      <c r="L15" s="42"/>
      <c r="M15" s="42"/>
      <c r="N15" s="42"/>
      <c r="O15" s="43"/>
    </row>
    <row r="16" s="2" customFormat="1" ht="45.75" customHeight="1" spans="2:15">
      <c r="B16" s="44">
        <v>7</v>
      </c>
      <c r="C16" s="20" t="s">
        <v>437</v>
      </c>
      <c r="D16" s="19" t="s">
        <v>31</v>
      </c>
      <c r="E16" s="19">
        <v>15</v>
      </c>
      <c r="F16" s="21">
        <v>15</v>
      </c>
      <c r="G16" s="19">
        <v>15</v>
      </c>
      <c r="H16" s="23"/>
      <c r="J16" s="44">
        <v>7</v>
      </c>
      <c r="K16" s="20" t="s">
        <v>437</v>
      </c>
      <c r="L16" s="19" t="s">
        <v>205</v>
      </c>
      <c r="M16" s="19" t="s">
        <v>209</v>
      </c>
      <c r="N16" s="19" t="s">
        <v>210</v>
      </c>
      <c r="O16" s="19" t="s">
        <v>211</v>
      </c>
    </row>
    <row r="17" s="2" customFormat="1" ht="45.75" customHeight="1" spans="2:15">
      <c r="B17" s="19">
        <v>8</v>
      </c>
      <c r="C17" s="20" t="s">
        <v>369</v>
      </c>
      <c r="D17" s="19" t="s">
        <v>31</v>
      </c>
      <c r="E17" s="19">
        <v>10</v>
      </c>
      <c r="F17" s="21">
        <v>10</v>
      </c>
      <c r="G17" s="19">
        <v>10</v>
      </c>
      <c r="H17" s="23"/>
      <c r="J17" s="19">
        <v>8</v>
      </c>
      <c r="K17" s="20" t="s">
        <v>369</v>
      </c>
      <c r="L17" s="19" t="s">
        <v>205</v>
      </c>
      <c r="M17" s="19" t="s">
        <v>209</v>
      </c>
      <c r="N17" s="19" t="s">
        <v>210</v>
      </c>
      <c r="O17" s="19" t="s">
        <v>211</v>
      </c>
    </row>
    <row r="18" s="2" customFormat="1" ht="45.75" customHeight="1" spans="2:15">
      <c r="B18" s="14" t="s">
        <v>320</v>
      </c>
      <c r="C18" s="14"/>
      <c r="D18" s="42"/>
      <c r="E18" s="42"/>
      <c r="F18" s="42"/>
      <c r="G18" s="42"/>
      <c r="H18" s="43"/>
      <c r="J18" s="14" t="s">
        <v>320</v>
      </c>
      <c r="K18" s="14"/>
      <c r="L18" s="42"/>
      <c r="M18" s="42"/>
      <c r="N18" s="42"/>
      <c r="O18" s="43"/>
    </row>
    <row r="19" s="2" customFormat="1" ht="45.75" customHeight="1" spans="2:15">
      <c r="B19" s="19">
        <v>9</v>
      </c>
      <c r="C19" s="20" t="s">
        <v>260</v>
      </c>
      <c r="D19" s="19" t="s">
        <v>31</v>
      </c>
      <c r="E19" s="19">
        <v>15</v>
      </c>
      <c r="F19" s="21">
        <v>15</v>
      </c>
      <c r="G19" s="19">
        <v>15</v>
      </c>
      <c r="H19" s="23"/>
      <c r="J19" s="19">
        <v>9</v>
      </c>
      <c r="K19" s="20" t="s">
        <v>260</v>
      </c>
      <c r="L19" s="19" t="s">
        <v>205</v>
      </c>
      <c r="M19" s="19" t="s">
        <v>209</v>
      </c>
      <c r="N19" s="19" t="s">
        <v>210</v>
      </c>
      <c r="O19" s="19" t="s">
        <v>211</v>
      </c>
    </row>
    <row r="20" s="2" customFormat="1" ht="45.75" customHeight="1" spans="2:15">
      <c r="B20" s="30" t="s">
        <v>120</v>
      </c>
      <c r="C20" s="30"/>
      <c r="D20" s="42"/>
      <c r="E20" s="42"/>
      <c r="F20" s="42"/>
      <c r="G20" s="42"/>
      <c r="H20" s="43"/>
      <c r="J20" s="30" t="s">
        <v>120</v>
      </c>
      <c r="K20" s="30"/>
      <c r="L20" s="42"/>
      <c r="M20" s="42"/>
      <c r="N20" s="42"/>
      <c r="O20" s="43"/>
    </row>
    <row r="21" s="2" customFormat="1" ht="45.75" customHeight="1" spans="1:15">
      <c r="A21" s="73" t="s">
        <v>438</v>
      </c>
      <c r="B21" s="74">
        <v>10</v>
      </c>
      <c r="C21" s="75" t="s">
        <v>262</v>
      </c>
      <c r="D21" s="74" t="s">
        <v>31</v>
      </c>
      <c r="E21" s="74">
        <v>20</v>
      </c>
      <c r="F21" s="74">
        <v>20</v>
      </c>
      <c r="G21" s="74">
        <v>20</v>
      </c>
      <c r="H21" s="72"/>
      <c r="J21" s="74">
        <v>10</v>
      </c>
      <c r="K21" s="75" t="s">
        <v>262</v>
      </c>
      <c r="L21" s="19" t="s">
        <v>205</v>
      </c>
      <c r="M21" s="19" t="s">
        <v>209</v>
      </c>
      <c r="N21" s="19" t="s">
        <v>210</v>
      </c>
      <c r="O21" s="19" t="s">
        <v>211</v>
      </c>
    </row>
    <row r="22" s="2" customFormat="1" ht="45.75" customHeight="1" spans="2:15">
      <c r="B22" s="19">
        <v>11</v>
      </c>
      <c r="C22" s="20" t="s">
        <v>351</v>
      </c>
      <c r="D22" s="19" t="s">
        <v>31</v>
      </c>
      <c r="E22" s="19">
        <v>15</v>
      </c>
      <c r="F22" s="21">
        <v>15</v>
      </c>
      <c r="G22" s="19">
        <v>15</v>
      </c>
      <c r="H22" s="23"/>
      <c r="J22" s="19">
        <v>11</v>
      </c>
      <c r="K22" s="20" t="s">
        <v>351</v>
      </c>
      <c r="L22" s="19" t="s">
        <v>205</v>
      </c>
      <c r="M22" s="19" t="s">
        <v>209</v>
      </c>
      <c r="N22" s="19" t="s">
        <v>210</v>
      </c>
      <c r="O22" s="19" t="s">
        <v>211</v>
      </c>
    </row>
    <row r="23" s="2" customFormat="1" ht="45.75" customHeight="1" spans="2:15">
      <c r="B23" s="19">
        <v>12</v>
      </c>
      <c r="C23" s="23" t="s">
        <v>263</v>
      </c>
      <c r="D23" s="19" t="s">
        <v>31</v>
      </c>
      <c r="E23" s="19">
        <v>15</v>
      </c>
      <c r="F23" s="21">
        <v>15</v>
      </c>
      <c r="G23" s="19">
        <v>15</v>
      </c>
      <c r="H23" s="23"/>
      <c r="J23" s="19">
        <v>12</v>
      </c>
      <c r="K23" s="23" t="s">
        <v>263</v>
      </c>
      <c r="L23" s="19" t="s">
        <v>205</v>
      </c>
      <c r="M23" s="19" t="s">
        <v>209</v>
      </c>
      <c r="N23" s="19" t="s">
        <v>210</v>
      </c>
      <c r="O23" s="19" t="s">
        <v>211</v>
      </c>
    </row>
    <row r="24" s="2" customFormat="1" ht="45.75" customHeight="1" spans="2:15">
      <c r="B24" s="30" t="s">
        <v>305</v>
      </c>
      <c r="C24" s="30"/>
      <c r="D24" s="42"/>
      <c r="E24" s="42"/>
      <c r="F24" s="42"/>
      <c r="G24" s="42"/>
      <c r="H24" s="43"/>
      <c r="J24" s="30" t="s">
        <v>305</v>
      </c>
      <c r="K24" s="30"/>
      <c r="L24" s="42"/>
      <c r="M24" s="42"/>
      <c r="N24" s="42"/>
      <c r="O24" s="43"/>
    </row>
    <row r="25" s="2" customFormat="1" ht="45.75" customHeight="1" spans="2:15">
      <c r="B25" s="19">
        <v>13</v>
      </c>
      <c r="C25" s="23" t="s">
        <v>269</v>
      </c>
      <c r="D25" s="44" t="s">
        <v>31</v>
      </c>
      <c r="E25" s="19">
        <v>15</v>
      </c>
      <c r="F25" s="21">
        <v>15</v>
      </c>
      <c r="G25" s="19">
        <v>15</v>
      </c>
      <c r="H25" s="23"/>
      <c r="J25" s="19">
        <v>15</v>
      </c>
      <c r="K25" s="23" t="s">
        <v>269</v>
      </c>
      <c r="L25" s="19" t="s">
        <v>205</v>
      </c>
      <c r="M25" s="19" t="s">
        <v>209</v>
      </c>
      <c r="N25" s="19" t="s">
        <v>210</v>
      </c>
      <c r="O25" s="19" t="s">
        <v>211</v>
      </c>
    </row>
    <row r="26" s="2" customFormat="1" ht="45.75" customHeight="1" spans="2:15">
      <c r="B26" s="19">
        <v>14</v>
      </c>
      <c r="C26" s="23" t="s">
        <v>306</v>
      </c>
      <c r="D26" s="19" t="s">
        <v>31</v>
      </c>
      <c r="E26" s="19">
        <v>5</v>
      </c>
      <c r="F26" s="21">
        <v>5</v>
      </c>
      <c r="G26" s="19">
        <v>5</v>
      </c>
      <c r="H26" s="23"/>
      <c r="J26" s="50">
        <v>16</v>
      </c>
      <c r="K26" s="51" t="s">
        <v>306</v>
      </c>
      <c r="L26" s="50" t="s">
        <v>205</v>
      </c>
      <c r="M26" s="50" t="s">
        <v>209</v>
      </c>
      <c r="N26" s="50" t="s">
        <v>210</v>
      </c>
      <c r="O26" s="50" t="s">
        <v>211</v>
      </c>
    </row>
    <row r="27" s="2" customFormat="1" ht="45.75" customHeight="1" spans="2:15">
      <c r="B27" s="19"/>
      <c r="C27" s="76" t="s">
        <v>270</v>
      </c>
      <c r="D27" s="66"/>
      <c r="E27" s="19">
        <f>SUM(E7:E26)</f>
        <v>180</v>
      </c>
      <c r="F27" s="21">
        <f>SUM(F7:F26)</f>
        <v>180</v>
      </c>
      <c r="G27" s="19">
        <f>SUM(G5:G26)</f>
        <v>180</v>
      </c>
      <c r="H27" s="23"/>
      <c r="J27" s="78"/>
      <c r="K27" s="78"/>
      <c r="L27" s="52"/>
      <c r="M27" s="52"/>
      <c r="N27" s="52"/>
      <c r="O27" s="53"/>
    </row>
    <row r="28" s="2" customFormat="1" ht="45.75" customHeight="1" spans="2:15">
      <c r="B28" s="19"/>
      <c r="C28" s="65" t="s">
        <v>271</v>
      </c>
      <c r="D28" s="66"/>
      <c r="E28" s="19">
        <f>(E27/E27)*100</f>
        <v>100</v>
      </c>
      <c r="F28" s="26">
        <f>+F27/E27*100</f>
        <v>100</v>
      </c>
      <c r="G28" s="27">
        <f>+G27/E27*100</f>
        <v>100</v>
      </c>
      <c r="H28" s="23"/>
      <c r="J28" s="4"/>
      <c r="L28" s="4"/>
      <c r="M28" s="4"/>
      <c r="N28" s="4"/>
      <c r="O28" s="4"/>
    </row>
    <row r="29" s="2" customFormat="1" ht="45.75" customHeight="1" spans="2:15">
      <c r="B29" s="4"/>
      <c r="C29" s="3"/>
      <c r="D29" s="3"/>
      <c r="E29" s="5"/>
      <c r="F29" s="4"/>
      <c r="G29" s="4"/>
      <c r="J29" s="4"/>
      <c r="L29" s="4"/>
      <c r="M29" s="4"/>
      <c r="N29" s="4"/>
      <c r="O29" s="4"/>
    </row>
    <row r="30" s="2" customFormat="1" ht="42" customHeight="1" spans="2:14">
      <c r="B30" s="4"/>
      <c r="C30" s="3"/>
      <c r="D30" s="3"/>
      <c r="E30" s="5"/>
      <c r="F30" s="4"/>
      <c r="G30" s="4"/>
      <c r="J30" s="4"/>
      <c r="K30" s="79"/>
      <c r="L30" s="5"/>
      <c r="M30" s="5"/>
      <c r="N30" s="5"/>
    </row>
    <row r="31" s="2" customFormat="1" ht="42" customHeight="1" spans="2:14">
      <c r="B31" s="4"/>
      <c r="C31" s="3"/>
      <c r="D31" s="3"/>
      <c r="E31" s="5"/>
      <c r="F31" s="4"/>
      <c r="G31" s="4"/>
      <c r="J31" s="4"/>
      <c r="K31" s="69"/>
      <c r="L31" s="5"/>
      <c r="M31" s="5"/>
      <c r="N31" s="80"/>
    </row>
    <row r="32" s="2" customFormat="1" ht="42" customHeight="1" spans="2:7">
      <c r="B32" s="4"/>
      <c r="C32" s="3"/>
      <c r="D32" s="3"/>
      <c r="E32" s="5"/>
      <c r="F32" s="4"/>
      <c r="G32" s="4"/>
    </row>
    <row r="33" s="2" customFormat="1" ht="42" customHeight="1" spans="2:7">
      <c r="B33" s="4"/>
      <c r="C33" s="3"/>
      <c r="D33" s="3"/>
      <c r="E33" s="5"/>
      <c r="F33" s="4"/>
      <c r="G33" s="4"/>
    </row>
    <row r="34" s="2" customFormat="1" ht="42" customHeight="1" spans="2:7">
      <c r="B34" s="4"/>
      <c r="C34" s="3"/>
      <c r="D34" s="3"/>
      <c r="E34" s="5"/>
      <c r="F34" s="4"/>
      <c r="G34" s="4"/>
    </row>
    <row r="35" s="2" customFormat="1" ht="39.75" customHeight="1" spans="2:7">
      <c r="B35" s="4"/>
      <c r="C35" s="3"/>
      <c r="D35" s="3"/>
      <c r="E35" s="5"/>
      <c r="F35" s="4"/>
      <c r="G35" s="4"/>
    </row>
    <row r="36" s="2" customFormat="1" ht="33" customHeight="1" spans="2:7">
      <c r="B36" s="4"/>
      <c r="C36" s="3"/>
      <c r="D36" s="3"/>
      <c r="E36" s="5"/>
      <c r="F36" s="4"/>
      <c r="G36" s="4"/>
    </row>
    <row r="37" s="2" customFormat="1" ht="51" customHeight="1" spans="2:7">
      <c r="B37" s="4"/>
      <c r="C37" s="3"/>
      <c r="D37" s="3"/>
      <c r="E37" s="5"/>
      <c r="F37" s="4"/>
      <c r="G37" s="4"/>
    </row>
    <row r="38" s="2" customFormat="1" ht="40.5" customHeight="1" spans="2:7">
      <c r="B38" s="4"/>
      <c r="C38" s="3"/>
      <c r="D38" s="3"/>
      <c r="E38" s="5"/>
      <c r="F38" s="5"/>
      <c r="G38" s="5"/>
    </row>
    <row r="39" s="2" customFormat="1" ht="34.5" customHeight="1" spans="2:7">
      <c r="B39" s="4"/>
      <c r="C39" s="3"/>
      <c r="D39" s="3"/>
      <c r="E39" s="5"/>
      <c r="F39" s="5"/>
      <c r="G39" s="5"/>
    </row>
    <row r="40" s="2" customFormat="1" ht="34.5" customHeight="1" spans="2:7">
      <c r="B40" s="4"/>
      <c r="C40" s="3"/>
      <c r="D40" s="3"/>
      <c r="E40" s="5"/>
      <c r="F40" s="5"/>
      <c r="G40" s="5"/>
    </row>
    <row r="41" s="2" customFormat="1" ht="34.5" customHeight="1" spans="2:7">
      <c r="B41" s="4"/>
      <c r="C41" s="3"/>
      <c r="D41" s="3"/>
      <c r="E41" s="5"/>
      <c r="F41" s="5"/>
      <c r="G41" s="5"/>
    </row>
    <row r="42" s="2" customFormat="1" ht="31.5" customHeight="1" spans="2:7">
      <c r="B42" s="4"/>
      <c r="C42" s="3"/>
      <c r="D42" s="3"/>
      <c r="E42" s="5"/>
      <c r="F42" s="5"/>
      <c r="G42" s="5"/>
    </row>
    <row r="43" s="2" customFormat="1" ht="34.5" customHeight="1" spans="2:7">
      <c r="B43" s="4"/>
      <c r="C43" s="3"/>
      <c r="D43" s="3"/>
      <c r="E43" s="5"/>
      <c r="F43" s="5"/>
      <c r="G43" s="5"/>
    </row>
    <row r="44" s="2" customFormat="1" ht="42" customHeight="1" spans="2:7">
      <c r="B44" s="4"/>
      <c r="C44" s="3"/>
      <c r="D44" s="3"/>
      <c r="E44" s="5"/>
      <c r="F44" s="5"/>
      <c r="G44" s="5"/>
    </row>
    <row r="45" s="2" customFormat="1" ht="42" customHeight="1" spans="2:7">
      <c r="B45" s="4"/>
      <c r="C45" s="3"/>
      <c r="D45" s="3"/>
      <c r="E45" s="5"/>
      <c r="F45" s="5"/>
      <c r="G45" s="5"/>
    </row>
    <row r="46" s="2" customFormat="1" ht="42" customHeight="1" spans="2:7">
      <c r="B46" s="4"/>
      <c r="C46" s="3"/>
      <c r="D46" s="3"/>
      <c r="E46" s="5"/>
      <c r="F46" s="5"/>
      <c r="G46" s="5"/>
    </row>
    <row r="47" s="2" customFormat="1" ht="61.5" customHeight="1" spans="2:7">
      <c r="B47" s="4"/>
      <c r="C47" s="3"/>
      <c r="D47" s="3"/>
      <c r="E47" s="5"/>
      <c r="F47" s="5"/>
      <c r="G47" s="5"/>
    </row>
    <row r="48" s="2" customFormat="1" ht="42" customHeight="1" spans="2:7">
      <c r="B48" s="4"/>
      <c r="C48" s="3"/>
      <c r="D48" s="3"/>
      <c r="E48" s="5"/>
      <c r="F48" s="5"/>
      <c r="G48" s="5"/>
    </row>
    <row r="49" s="2" customFormat="1" ht="45" customHeight="1" spans="2:7">
      <c r="B49" s="4"/>
      <c r="C49" s="3"/>
      <c r="D49" s="3"/>
      <c r="E49" s="5"/>
      <c r="F49" s="5"/>
      <c r="G49" s="5"/>
    </row>
    <row r="50" s="2" customFormat="1" ht="37.5" customHeight="1" spans="2:7">
      <c r="B50" s="4"/>
      <c r="C50" s="3"/>
      <c r="D50" s="3"/>
      <c r="E50" s="5"/>
      <c r="F50" s="5"/>
      <c r="G50" s="5"/>
    </row>
    <row r="51" s="2" customFormat="1" ht="30" customHeight="1" spans="2:7">
      <c r="B51" s="4"/>
      <c r="C51" s="3"/>
      <c r="D51" s="3"/>
      <c r="E51" s="5"/>
      <c r="F51" s="5"/>
      <c r="G51" s="5"/>
    </row>
    <row r="52" s="2" customFormat="1" ht="39.75" customHeight="1" spans="2:7">
      <c r="B52" s="4"/>
      <c r="C52" s="3"/>
      <c r="D52" s="3"/>
      <c r="E52" s="5"/>
      <c r="F52" s="5"/>
      <c r="G52" s="5"/>
    </row>
    <row r="53" s="2" customFormat="1" ht="30" customHeight="1" spans="2:7">
      <c r="B53" s="4"/>
      <c r="C53" s="3"/>
      <c r="D53" s="3"/>
      <c r="E53" s="5"/>
      <c r="F53" s="5"/>
      <c r="G53" s="5"/>
    </row>
    <row r="54" s="2" customFormat="1" ht="30" customHeight="1" spans="2:7">
      <c r="B54" s="4"/>
      <c r="C54" s="3"/>
      <c r="D54" s="3"/>
      <c r="E54" s="5"/>
      <c r="F54" s="5"/>
      <c r="G54" s="5"/>
    </row>
    <row r="55" s="2" customFormat="1" ht="30" customHeight="1" spans="2:7">
      <c r="B55" s="4"/>
      <c r="C55" s="3"/>
      <c r="D55" s="3"/>
      <c r="E55" s="5"/>
      <c r="F55" s="5"/>
      <c r="G55" s="5"/>
    </row>
    <row r="56" s="2" customFormat="1" ht="30" customHeight="1" spans="2:7">
      <c r="B56" s="4"/>
      <c r="C56" s="3"/>
      <c r="D56" s="3"/>
      <c r="E56" s="5"/>
      <c r="F56" s="5"/>
      <c r="G56" s="5"/>
    </row>
    <row r="57" s="2" customFormat="1" ht="30" customHeight="1" spans="2:7">
      <c r="B57" s="4"/>
      <c r="C57" s="3"/>
      <c r="D57" s="3"/>
      <c r="E57" s="5"/>
      <c r="F57" s="5"/>
      <c r="G57" s="5"/>
    </row>
    <row r="58" s="2" customFormat="1" ht="30" customHeight="1" spans="2:7">
      <c r="B58" s="4"/>
      <c r="C58" s="3"/>
      <c r="D58" s="3"/>
      <c r="E58" s="5"/>
      <c r="F58" s="5"/>
      <c r="G58" s="5"/>
    </row>
    <row r="59" s="2" customFormat="1" ht="30" customHeight="1" spans="2:7">
      <c r="B59" s="4"/>
      <c r="C59" s="3"/>
      <c r="D59" s="3"/>
      <c r="E59" s="5"/>
      <c r="F59" s="5"/>
      <c r="G59" s="5"/>
    </row>
    <row r="60" s="2" customFormat="1" ht="39.75" customHeight="1" spans="2:7">
      <c r="B60" s="4"/>
      <c r="C60" s="3"/>
      <c r="D60" s="3"/>
      <c r="E60" s="5"/>
      <c r="F60" s="5"/>
      <c r="G60" s="5"/>
    </row>
    <row r="61" s="2" customFormat="1" ht="39.75" customHeight="1" spans="2:7">
      <c r="B61" s="4"/>
      <c r="C61" s="3"/>
      <c r="D61" s="3"/>
      <c r="E61" s="5"/>
      <c r="F61" s="5"/>
      <c r="G61" s="5"/>
    </row>
    <row r="62" s="2" customFormat="1" ht="39.75" customHeight="1" spans="2:7">
      <c r="B62" s="4"/>
      <c r="C62" s="3"/>
      <c r="D62" s="3"/>
      <c r="E62" s="5"/>
      <c r="F62" s="5"/>
      <c r="G62" s="5"/>
    </row>
    <row r="63" s="2" customFormat="1" ht="39.75" customHeight="1" spans="2:7">
      <c r="B63" s="4"/>
      <c r="C63" s="3"/>
      <c r="D63" s="3"/>
      <c r="E63" s="5"/>
      <c r="F63" s="5"/>
      <c r="G63" s="5"/>
    </row>
    <row r="64" s="2" customFormat="1" ht="33.75" customHeight="1" spans="2:7">
      <c r="B64" s="4"/>
      <c r="C64" s="3"/>
      <c r="D64" s="3"/>
      <c r="E64" s="5"/>
      <c r="F64" s="5"/>
      <c r="G64" s="5"/>
    </row>
    <row r="65" s="2" customFormat="1" ht="30" customHeight="1" spans="2:7">
      <c r="B65" s="4"/>
      <c r="C65" s="3"/>
      <c r="D65" s="3"/>
      <c r="E65" s="5"/>
      <c r="F65" s="5"/>
      <c r="G65" s="5"/>
    </row>
    <row r="66" s="2" customFormat="1" ht="30" customHeight="1" spans="2:7">
      <c r="B66" s="4"/>
      <c r="C66" s="3"/>
      <c r="D66" s="3"/>
      <c r="E66" s="5"/>
      <c r="F66" s="5"/>
      <c r="G66" s="5"/>
    </row>
    <row r="67" s="2" customFormat="1" ht="30" customHeight="1" spans="2:7">
      <c r="B67" s="4"/>
      <c r="C67" s="3"/>
      <c r="D67" s="3"/>
      <c r="E67" s="5"/>
      <c r="F67" s="5"/>
      <c r="G67" s="5"/>
    </row>
    <row r="68" s="2" customFormat="1" ht="30" customHeight="1" spans="2:7">
      <c r="B68" s="4"/>
      <c r="C68" s="3"/>
      <c r="D68" s="3"/>
      <c r="E68" s="5"/>
      <c r="F68" s="5"/>
      <c r="G68" s="5"/>
    </row>
    <row r="69" s="2" customFormat="1" ht="30" customHeight="1" spans="2:7">
      <c r="B69" s="4"/>
      <c r="C69" s="3"/>
      <c r="D69" s="3"/>
      <c r="E69" s="5"/>
      <c r="F69" s="5"/>
      <c r="G69" s="5"/>
    </row>
    <row r="70" s="2" customFormat="1" ht="30" customHeight="1" spans="2:7">
      <c r="B70" s="4"/>
      <c r="C70" s="3"/>
      <c r="D70" s="3"/>
      <c r="E70" s="5"/>
      <c r="F70" s="5"/>
      <c r="G70" s="5"/>
    </row>
    <row r="71" s="2" customFormat="1" ht="30" customHeight="1" spans="2:7">
      <c r="B71" s="4"/>
      <c r="C71" s="3"/>
      <c r="D71" s="3"/>
      <c r="E71" s="5"/>
      <c r="F71" s="5"/>
      <c r="G71" s="5"/>
    </row>
    <row r="72" s="2" customFormat="1" ht="30" customHeight="1" spans="2:7">
      <c r="B72" s="4"/>
      <c r="C72" s="3"/>
      <c r="D72" s="3"/>
      <c r="E72" s="5"/>
      <c r="F72" s="5"/>
      <c r="G72" s="5"/>
    </row>
    <row r="73" s="2" customFormat="1" ht="30" customHeight="1" spans="2:7">
      <c r="B73" s="4"/>
      <c r="C73" s="3"/>
      <c r="D73" s="3"/>
      <c r="E73" s="5"/>
      <c r="F73" s="5"/>
      <c r="G73" s="5"/>
    </row>
    <row r="74" s="2" customFormat="1" ht="30" customHeight="1" spans="2:7">
      <c r="B74" s="4"/>
      <c r="C74" s="3"/>
      <c r="D74" s="3"/>
      <c r="E74" s="5"/>
      <c r="F74" s="5"/>
      <c r="G74" s="5"/>
    </row>
    <row r="75" s="2" customFormat="1" ht="30" customHeight="1" spans="2:7">
      <c r="B75" s="4"/>
      <c r="C75" s="3"/>
      <c r="D75" s="3"/>
      <c r="E75" s="5"/>
      <c r="F75" s="5"/>
      <c r="G75" s="5"/>
    </row>
    <row r="76" s="2" customFormat="1" ht="30" customHeight="1" spans="2:7">
      <c r="B76" s="4"/>
      <c r="C76" s="3"/>
      <c r="D76" s="3"/>
      <c r="E76" s="5"/>
      <c r="F76" s="5"/>
      <c r="G76" s="5"/>
    </row>
    <row r="77" s="2" customFormat="1" ht="30" customHeight="1" spans="2:8">
      <c r="B77" s="4"/>
      <c r="C77" s="3"/>
      <c r="D77" s="3"/>
      <c r="E77" s="5"/>
      <c r="F77" s="5"/>
      <c r="G77" s="5"/>
      <c r="H77" s="3"/>
    </row>
    <row r="78" s="2" customFormat="1" ht="30" customHeight="1" spans="2:8">
      <c r="B78" s="4"/>
      <c r="C78" s="3"/>
      <c r="D78" s="3"/>
      <c r="E78" s="5"/>
      <c r="F78" s="5"/>
      <c r="G78" s="5"/>
      <c r="H78" s="3"/>
    </row>
    <row r="79" s="2" customFormat="1" ht="30" customHeight="1" spans="2:8">
      <c r="B79" s="4"/>
      <c r="C79" s="3"/>
      <c r="D79" s="3"/>
      <c r="E79" s="5"/>
      <c r="F79" s="5"/>
      <c r="G79" s="5"/>
      <c r="H79" s="3"/>
    </row>
    <row r="80" s="2" customFormat="1" ht="30" customHeight="1" spans="2:8">
      <c r="B80" s="4"/>
      <c r="C80" s="3"/>
      <c r="D80" s="3"/>
      <c r="E80" s="5"/>
      <c r="F80" s="5"/>
      <c r="G80" s="5"/>
      <c r="H80" s="3"/>
    </row>
    <row r="81" s="2" customFormat="1" ht="30" customHeight="1" spans="2:8">
      <c r="B81" s="4"/>
      <c r="C81" s="3"/>
      <c r="D81" s="3"/>
      <c r="E81" s="5"/>
      <c r="F81" s="5"/>
      <c r="G81" s="5"/>
      <c r="H81" s="3"/>
    </row>
    <row r="82" s="2" customFormat="1" ht="30" customHeight="1" spans="2:8">
      <c r="B82" s="4"/>
      <c r="C82" s="3"/>
      <c r="D82" s="3"/>
      <c r="E82" s="5"/>
      <c r="F82" s="5"/>
      <c r="G82" s="5"/>
      <c r="H82" s="3"/>
    </row>
    <row r="83" s="2" customFormat="1" ht="30" customHeight="1" spans="2:8">
      <c r="B83" s="4"/>
      <c r="C83" s="3"/>
      <c r="D83" s="3"/>
      <c r="E83" s="5"/>
      <c r="F83" s="5"/>
      <c r="G83" s="5"/>
      <c r="H83" s="3"/>
    </row>
    <row r="84" s="2" customFormat="1" ht="31.5" customHeight="1" spans="2:9">
      <c r="B84" s="4"/>
      <c r="C84" s="3"/>
      <c r="D84" s="3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3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3"/>
      <c r="E86" s="5"/>
      <c r="F86" s="5"/>
      <c r="G86" s="5"/>
      <c r="H86" s="3"/>
      <c r="I86" s="3"/>
    </row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</sheetData>
  <autoFilter ref="A5:I94">
    <extLst/>
  </autoFilter>
  <mergeCells count="24">
    <mergeCell ref="B2:F2"/>
    <mergeCell ref="B4:H4"/>
    <mergeCell ref="J4:O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8:C18"/>
    <mergeCell ref="J18:K18"/>
    <mergeCell ref="B20:C20"/>
    <mergeCell ref="J20:K20"/>
    <mergeCell ref="B24:C24"/>
    <mergeCell ref="J24:K24"/>
    <mergeCell ref="J27:K27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U65"/>
  <sheetViews>
    <sheetView topLeftCell="B1" workbookViewId="0">
      <pane ySplit="6" topLeftCell="A7" activePane="bottomLeft" state="frozen"/>
      <selection/>
      <selection pane="bottomLeft" activeCell="G28" sqref="G28"/>
    </sheetView>
  </sheetViews>
  <sheetFormatPr defaultColWidth="8.88888888888889" defaultRowHeight="15.6"/>
  <cols>
    <col min="1" max="1" width="6.11111111111111" style="3" customWidth="1"/>
    <col min="2" max="2" width="71" style="3" customWidth="1"/>
    <col min="3" max="3" width="14.6666666666667" style="5" customWidth="1"/>
    <col min="4" max="4" width="14.6666666666667" style="3" customWidth="1"/>
    <col min="5" max="6" width="14.6666666666667" style="5" customWidth="1"/>
    <col min="7" max="7" width="54.8888888888889" style="3" customWidth="1"/>
    <col min="8" max="8" width="8.88888888888889" style="3"/>
    <col min="9" max="9" width="3.88888888888889" style="3" customWidth="1"/>
    <col min="10" max="10" width="85" style="3" customWidth="1"/>
    <col min="11" max="17" width="15" style="3" customWidth="1"/>
    <col min="18" max="16384" width="8.88888888888889" style="3"/>
  </cols>
  <sheetData>
    <row r="1" ht="15" customHeight="1" spans="5:6">
      <c r="E1" s="6"/>
      <c r="F1" s="6"/>
    </row>
    <row r="2" ht="15" customHeight="1" spans="1:6">
      <c r="A2" s="7"/>
      <c r="B2" s="7"/>
      <c r="C2" s="7"/>
      <c r="D2" s="7"/>
      <c r="E2" s="7"/>
      <c r="F2" s="7"/>
    </row>
    <row r="3" ht="15" customHeight="1" spans="5:6">
      <c r="E3" s="6"/>
      <c r="F3" s="6"/>
    </row>
    <row r="4" ht="30" customHeight="1" spans="1:17">
      <c r="A4" s="8" t="s">
        <v>439</v>
      </c>
      <c r="B4" s="8"/>
      <c r="C4" s="8"/>
      <c r="D4" s="8"/>
      <c r="E4" s="8"/>
      <c r="F4" s="8"/>
      <c r="G4" s="8"/>
      <c r="I4" s="8" t="s">
        <v>439</v>
      </c>
      <c r="J4" s="8"/>
      <c r="K4" s="8"/>
      <c r="L4" s="8"/>
      <c r="M4" s="8"/>
      <c r="N4" s="8"/>
      <c r="O4" s="8"/>
      <c r="P4" s="8"/>
      <c r="Q4" s="8"/>
    </row>
    <row r="5" ht="30" customHeight="1" spans="1:17">
      <c r="A5" s="10" t="s">
        <v>194</v>
      </c>
      <c r="B5" s="10"/>
      <c r="C5" s="10" t="s">
        <v>195</v>
      </c>
      <c r="D5" s="11" t="s">
        <v>196</v>
      </c>
      <c r="E5" s="40" t="s">
        <v>197</v>
      </c>
      <c r="F5" s="59" t="s">
        <v>198</v>
      </c>
      <c r="G5" s="10" t="s">
        <v>199</v>
      </c>
      <c r="I5" s="10" t="s">
        <v>194</v>
      </c>
      <c r="J5" s="10"/>
      <c r="K5" s="10"/>
      <c r="L5" s="11"/>
      <c r="M5" s="11"/>
      <c r="N5" s="11"/>
      <c r="O5" s="11"/>
      <c r="P5" s="39"/>
      <c r="Q5" s="10"/>
    </row>
    <row r="6" s="1" customFormat="1" ht="51" customHeight="1" spans="1:21">
      <c r="A6" s="14" t="s">
        <v>200</v>
      </c>
      <c r="B6" s="14"/>
      <c r="C6" s="15"/>
      <c r="D6" s="16"/>
      <c r="E6" s="60"/>
      <c r="F6" s="17"/>
      <c r="G6" s="18"/>
      <c r="I6" s="14" t="s">
        <v>200</v>
      </c>
      <c r="J6" s="14"/>
      <c r="K6" s="30" t="s">
        <v>440</v>
      </c>
      <c r="L6" s="30" t="s">
        <v>441</v>
      </c>
      <c r="M6" s="30" t="s">
        <v>442</v>
      </c>
      <c r="N6" s="30" t="s">
        <v>443</v>
      </c>
      <c r="O6" s="30" t="s">
        <v>444</v>
      </c>
      <c r="P6" s="30" t="s">
        <v>277</v>
      </c>
      <c r="Q6" s="30" t="s">
        <v>278</v>
      </c>
      <c r="S6" s="31" t="s">
        <v>205</v>
      </c>
      <c r="T6" s="19" t="s">
        <v>4</v>
      </c>
      <c r="U6" s="19"/>
    </row>
    <row r="7" s="2" customFormat="1" ht="48.75" customHeight="1" spans="1:21">
      <c r="A7" s="19">
        <v>1</v>
      </c>
      <c r="B7" s="20" t="s">
        <v>295</v>
      </c>
      <c r="C7" s="19" t="s">
        <v>33</v>
      </c>
      <c r="D7" s="19">
        <v>20</v>
      </c>
      <c r="E7" s="21">
        <v>20</v>
      </c>
      <c r="F7" s="19">
        <v>20</v>
      </c>
      <c r="G7" s="23"/>
      <c r="I7" s="19">
        <v>1</v>
      </c>
      <c r="J7" s="20" t="s">
        <v>295</v>
      </c>
      <c r="K7" s="19" t="s">
        <v>209</v>
      </c>
      <c r="L7" s="19" t="s">
        <v>205</v>
      </c>
      <c r="M7" s="19" t="s">
        <v>205</v>
      </c>
      <c r="N7" s="19" t="s">
        <v>205</v>
      </c>
      <c r="O7" s="19" t="s">
        <v>205</v>
      </c>
      <c r="P7" s="19" t="s">
        <v>210</v>
      </c>
      <c r="Q7" s="19" t="s">
        <v>211</v>
      </c>
      <c r="S7" s="33" t="s">
        <v>209</v>
      </c>
      <c r="T7" s="19" t="s">
        <v>212</v>
      </c>
      <c r="U7" s="19"/>
    </row>
    <row r="8" s="2" customFormat="1" ht="48.75" customHeight="1" spans="1:21">
      <c r="A8" s="19">
        <v>2</v>
      </c>
      <c r="B8" s="20" t="s">
        <v>445</v>
      </c>
      <c r="C8" s="19" t="s">
        <v>33</v>
      </c>
      <c r="D8" s="19">
        <v>10</v>
      </c>
      <c r="E8" s="21">
        <v>0</v>
      </c>
      <c r="F8" s="19">
        <v>0</v>
      </c>
      <c r="G8" s="20" t="s">
        <v>446</v>
      </c>
      <c r="I8" s="19">
        <v>2</v>
      </c>
      <c r="J8" s="20" t="s">
        <v>445</v>
      </c>
      <c r="K8" s="19" t="s">
        <v>209</v>
      </c>
      <c r="L8" s="19" t="s">
        <v>205</v>
      </c>
      <c r="M8" s="19" t="s">
        <v>205</v>
      </c>
      <c r="N8" s="19" t="s">
        <v>205</v>
      </c>
      <c r="O8" s="19" t="s">
        <v>205</v>
      </c>
      <c r="P8" s="19" t="s">
        <v>210</v>
      </c>
      <c r="Q8" s="19" t="s">
        <v>211</v>
      </c>
      <c r="S8" s="14" t="s">
        <v>210</v>
      </c>
      <c r="T8" s="19" t="s">
        <v>215</v>
      </c>
      <c r="U8" s="19"/>
    </row>
    <row r="9" s="2" customFormat="1" ht="48.75" customHeight="1" spans="1:21">
      <c r="A9" s="19">
        <v>3</v>
      </c>
      <c r="B9" s="61" t="s">
        <v>343</v>
      </c>
      <c r="C9" s="62" t="s">
        <v>33</v>
      </c>
      <c r="D9" s="62">
        <v>10</v>
      </c>
      <c r="E9" s="62">
        <v>0</v>
      </c>
      <c r="F9" s="62">
        <v>0</v>
      </c>
      <c r="G9" s="20" t="s">
        <v>447</v>
      </c>
      <c r="I9" s="19">
        <v>3</v>
      </c>
      <c r="J9" s="61" t="s">
        <v>343</v>
      </c>
      <c r="K9" s="62" t="s">
        <v>209</v>
      </c>
      <c r="L9" s="62" t="s">
        <v>205</v>
      </c>
      <c r="M9" s="62" t="s">
        <v>205</v>
      </c>
      <c r="N9" s="19" t="s">
        <v>205</v>
      </c>
      <c r="O9" s="19" t="s">
        <v>205</v>
      </c>
      <c r="P9" s="19" t="s">
        <v>210</v>
      </c>
      <c r="Q9" s="19" t="s">
        <v>211</v>
      </c>
      <c r="S9" s="10" t="s">
        <v>211</v>
      </c>
      <c r="T9" s="19" t="s">
        <v>216</v>
      </c>
      <c r="U9" s="19"/>
    </row>
    <row r="10" s="2" customFormat="1" ht="48.75" customHeight="1" spans="1:17">
      <c r="A10" s="19">
        <v>4</v>
      </c>
      <c r="B10" s="20" t="s">
        <v>315</v>
      </c>
      <c r="C10" s="19" t="s">
        <v>33</v>
      </c>
      <c r="D10" s="19">
        <v>10</v>
      </c>
      <c r="E10" s="21">
        <v>10</v>
      </c>
      <c r="F10" s="19">
        <v>10</v>
      </c>
      <c r="G10" s="23"/>
      <c r="I10" s="19">
        <v>4</v>
      </c>
      <c r="J10" s="20" t="s">
        <v>315</v>
      </c>
      <c r="K10" s="19" t="s">
        <v>209</v>
      </c>
      <c r="L10" s="19" t="s">
        <v>205</v>
      </c>
      <c r="M10" s="19" t="s">
        <v>205</v>
      </c>
      <c r="N10" s="19" t="s">
        <v>205</v>
      </c>
      <c r="O10" s="19" t="s">
        <v>205</v>
      </c>
      <c r="P10" s="19" t="s">
        <v>210</v>
      </c>
      <c r="Q10" s="19" t="s">
        <v>211</v>
      </c>
    </row>
    <row r="11" s="2" customFormat="1" ht="48.75" customHeight="1" spans="1:17">
      <c r="A11" s="30" t="s">
        <v>344</v>
      </c>
      <c r="B11" s="30"/>
      <c r="C11" s="42"/>
      <c r="D11" s="43"/>
      <c r="E11" s="43"/>
      <c r="F11" s="43"/>
      <c r="G11" s="43"/>
      <c r="I11" s="30" t="s">
        <v>344</v>
      </c>
      <c r="J11" s="30"/>
      <c r="K11" s="42"/>
      <c r="L11" s="42"/>
      <c r="M11" s="42"/>
      <c r="N11" s="42"/>
      <c r="O11" s="42"/>
      <c r="P11" s="42"/>
      <c r="Q11" s="42"/>
    </row>
    <row r="12" s="2" customFormat="1" ht="48.75" customHeight="1" spans="1:17">
      <c r="A12" s="19">
        <v>5</v>
      </c>
      <c r="B12" s="20" t="s">
        <v>448</v>
      </c>
      <c r="C12" s="19" t="s">
        <v>33</v>
      </c>
      <c r="D12" s="19">
        <v>10</v>
      </c>
      <c r="E12" s="21">
        <v>0</v>
      </c>
      <c r="F12" s="19">
        <v>0</v>
      </c>
      <c r="G12" s="23" t="s">
        <v>449</v>
      </c>
      <c r="I12" s="19">
        <v>5</v>
      </c>
      <c r="J12" s="20" t="s">
        <v>448</v>
      </c>
      <c r="K12" s="19" t="s">
        <v>209</v>
      </c>
      <c r="L12" s="19" t="s">
        <v>205</v>
      </c>
      <c r="M12" s="19" t="s">
        <v>205</v>
      </c>
      <c r="N12" s="19"/>
      <c r="O12" s="19"/>
      <c r="P12" s="19" t="s">
        <v>210</v>
      </c>
      <c r="Q12" s="19" t="s">
        <v>211</v>
      </c>
    </row>
    <row r="13" s="2" customFormat="1" ht="48.75" customHeight="1" spans="1:17">
      <c r="A13" s="30" t="s">
        <v>163</v>
      </c>
      <c r="B13" s="30"/>
      <c r="C13" s="42"/>
      <c r="D13" s="43"/>
      <c r="E13" s="43"/>
      <c r="F13" s="43"/>
      <c r="G13" s="43"/>
      <c r="I13" s="30" t="s">
        <v>163</v>
      </c>
      <c r="J13" s="30"/>
      <c r="K13" s="42"/>
      <c r="L13" s="43"/>
      <c r="M13" s="43"/>
      <c r="N13" s="43"/>
      <c r="O13" s="43"/>
      <c r="P13" s="42"/>
      <c r="Q13" s="43"/>
    </row>
    <row r="14" s="2" customFormat="1" ht="48.75" customHeight="1" spans="1:17">
      <c r="A14" s="44">
        <v>6</v>
      </c>
      <c r="B14" s="20" t="s">
        <v>450</v>
      </c>
      <c r="C14" s="19" t="s">
        <v>33</v>
      </c>
      <c r="D14" s="19">
        <v>10</v>
      </c>
      <c r="E14" s="21">
        <v>10</v>
      </c>
      <c r="F14" s="19">
        <v>10</v>
      </c>
      <c r="G14" s="23"/>
      <c r="I14" s="44">
        <v>6</v>
      </c>
      <c r="J14" s="20" t="s">
        <v>450</v>
      </c>
      <c r="K14" s="19" t="s">
        <v>209</v>
      </c>
      <c r="L14" s="19" t="s">
        <v>205</v>
      </c>
      <c r="M14" s="19" t="s">
        <v>205</v>
      </c>
      <c r="N14" s="19"/>
      <c r="O14" s="19" t="s">
        <v>205</v>
      </c>
      <c r="P14" s="19" t="s">
        <v>210</v>
      </c>
      <c r="Q14" s="19" t="s">
        <v>211</v>
      </c>
    </row>
    <row r="15" s="2" customFormat="1" ht="48.75" customHeight="1" spans="1:17">
      <c r="A15" s="44">
        <v>7</v>
      </c>
      <c r="B15" s="20" t="s">
        <v>170</v>
      </c>
      <c r="C15" s="19" t="s">
        <v>33</v>
      </c>
      <c r="D15" s="19">
        <v>20</v>
      </c>
      <c r="E15" s="21">
        <v>0</v>
      </c>
      <c r="F15" s="19">
        <v>0</v>
      </c>
      <c r="G15" s="23" t="s">
        <v>451</v>
      </c>
      <c r="I15" s="44">
        <v>7</v>
      </c>
      <c r="J15" s="20" t="s">
        <v>170</v>
      </c>
      <c r="K15" s="19" t="s">
        <v>209</v>
      </c>
      <c r="L15" s="19" t="s">
        <v>205</v>
      </c>
      <c r="M15" s="19" t="s">
        <v>205</v>
      </c>
      <c r="N15" s="19"/>
      <c r="O15" s="19" t="s">
        <v>205</v>
      </c>
      <c r="P15" s="19" t="s">
        <v>210</v>
      </c>
      <c r="Q15" s="19" t="s">
        <v>211</v>
      </c>
    </row>
    <row r="16" s="2" customFormat="1" ht="48.75" customHeight="1" spans="1:17">
      <c r="A16" s="30" t="s">
        <v>346</v>
      </c>
      <c r="B16" s="30"/>
      <c r="C16" s="42"/>
      <c r="D16" s="43"/>
      <c r="E16" s="43"/>
      <c r="F16" s="43"/>
      <c r="G16" s="43"/>
      <c r="I16" s="30" t="s">
        <v>346</v>
      </c>
      <c r="J16" s="30"/>
      <c r="K16" s="42"/>
      <c r="L16" s="43"/>
      <c r="M16" s="43"/>
      <c r="N16" s="43"/>
      <c r="O16" s="43"/>
      <c r="P16" s="42"/>
      <c r="Q16" s="43"/>
    </row>
    <row r="17" s="2" customFormat="1" ht="48.75" customHeight="1" spans="1:17">
      <c r="A17" s="19">
        <v>8</v>
      </c>
      <c r="B17" s="63" t="s">
        <v>452</v>
      </c>
      <c r="C17" s="19" t="s">
        <v>33</v>
      </c>
      <c r="D17" s="19">
        <v>10</v>
      </c>
      <c r="E17" s="21">
        <v>10</v>
      </c>
      <c r="F17" s="19">
        <v>10</v>
      </c>
      <c r="G17" s="23"/>
      <c r="I17" s="19">
        <v>8</v>
      </c>
      <c r="J17" s="63" t="s">
        <v>452</v>
      </c>
      <c r="K17" s="19" t="s">
        <v>209</v>
      </c>
      <c r="L17" s="19" t="s">
        <v>205</v>
      </c>
      <c r="M17" s="19"/>
      <c r="N17" s="19"/>
      <c r="O17" s="19"/>
      <c r="P17" s="19" t="s">
        <v>210</v>
      </c>
      <c r="Q17" s="19" t="s">
        <v>211</v>
      </c>
    </row>
    <row r="18" s="2" customFormat="1" ht="48.75" customHeight="1" spans="1:17">
      <c r="A18" s="19">
        <v>9</v>
      </c>
      <c r="B18" s="63" t="s">
        <v>381</v>
      </c>
      <c r="C18" s="19" t="s">
        <v>33</v>
      </c>
      <c r="D18" s="19">
        <v>20</v>
      </c>
      <c r="E18" s="21">
        <v>20</v>
      </c>
      <c r="F18" s="19">
        <v>20</v>
      </c>
      <c r="G18" s="23" t="s">
        <v>453</v>
      </c>
      <c r="I18" s="19">
        <v>9</v>
      </c>
      <c r="J18" s="63" t="s">
        <v>381</v>
      </c>
      <c r="K18" s="19" t="s">
        <v>209</v>
      </c>
      <c r="L18" s="19" t="s">
        <v>205</v>
      </c>
      <c r="M18" s="19"/>
      <c r="N18" s="19"/>
      <c r="O18" s="19"/>
      <c r="P18" s="19" t="s">
        <v>210</v>
      </c>
      <c r="Q18" s="19" t="s">
        <v>211</v>
      </c>
    </row>
    <row r="19" s="2" customFormat="1" ht="48.75" customHeight="1" spans="1:17">
      <c r="A19" s="19">
        <v>10</v>
      </c>
      <c r="B19" s="20" t="s">
        <v>454</v>
      </c>
      <c r="C19" s="19" t="s">
        <v>33</v>
      </c>
      <c r="D19" s="19">
        <v>10</v>
      </c>
      <c r="E19" s="21">
        <v>10</v>
      </c>
      <c r="F19" s="19">
        <v>10</v>
      </c>
      <c r="G19" s="23"/>
      <c r="I19" s="19">
        <v>10</v>
      </c>
      <c r="J19" s="20" t="s">
        <v>454</v>
      </c>
      <c r="K19" s="19" t="s">
        <v>209</v>
      </c>
      <c r="L19" s="19" t="s">
        <v>205</v>
      </c>
      <c r="M19" s="19"/>
      <c r="N19" s="19"/>
      <c r="O19" s="19"/>
      <c r="P19" s="19" t="s">
        <v>210</v>
      </c>
      <c r="Q19" s="19" t="s">
        <v>211</v>
      </c>
    </row>
    <row r="20" s="2" customFormat="1" ht="48.75" customHeight="1" spans="1:17">
      <c r="A20" s="14" t="s">
        <v>320</v>
      </c>
      <c r="B20" s="14"/>
      <c r="C20" s="42"/>
      <c r="D20" s="43"/>
      <c r="E20" s="43"/>
      <c r="F20" s="43"/>
      <c r="G20" s="43"/>
      <c r="I20" s="14" t="s">
        <v>320</v>
      </c>
      <c r="J20" s="14"/>
      <c r="K20" s="42"/>
      <c r="L20" s="43"/>
      <c r="M20" s="43"/>
      <c r="N20" s="43"/>
      <c r="O20" s="43"/>
      <c r="P20" s="42"/>
      <c r="Q20" s="43"/>
    </row>
    <row r="21" s="2" customFormat="1" ht="48.75" customHeight="1" spans="1:17">
      <c r="A21" s="19">
        <v>11</v>
      </c>
      <c r="B21" s="20" t="s">
        <v>260</v>
      </c>
      <c r="C21" s="19" t="s">
        <v>33</v>
      </c>
      <c r="D21" s="19">
        <v>15</v>
      </c>
      <c r="E21" s="21">
        <v>0</v>
      </c>
      <c r="F21" s="19">
        <v>0</v>
      </c>
      <c r="G21" s="20" t="s">
        <v>455</v>
      </c>
      <c r="I21" s="19">
        <v>11</v>
      </c>
      <c r="J21" s="20" t="s">
        <v>260</v>
      </c>
      <c r="K21" s="19" t="s">
        <v>209</v>
      </c>
      <c r="L21" s="19" t="s">
        <v>205</v>
      </c>
      <c r="M21" s="19"/>
      <c r="N21" s="19"/>
      <c r="O21" s="19"/>
      <c r="P21" s="19" t="s">
        <v>210</v>
      </c>
      <c r="Q21" s="19" t="s">
        <v>211</v>
      </c>
    </row>
    <row r="22" s="2" customFormat="1" ht="48.75" customHeight="1" spans="1:17">
      <c r="A22" s="30" t="s">
        <v>120</v>
      </c>
      <c r="B22" s="30"/>
      <c r="C22" s="42"/>
      <c r="D22" s="43"/>
      <c r="E22" s="43"/>
      <c r="F22" s="43"/>
      <c r="G22" s="43"/>
      <c r="I22" s="30" t="s">
        <v>120</v>
      </c>
      <c r="J22" s="30"/>
      <c r="K22" s="42"/>
      <c r="L22" s="43"/>
      <c r="M22" s="43"/>
      <c r="N22" s="43"/>
      <c r="O22" s="43"/>
      <c r="P22" s="42"/>
      <c r="Q22" s="43"/>
    </row>
    <row r="23" s="2" customFormat="1" ht="48.75" customHeight="1" spans="1:17">
      <c r="A23" s="19">
        <v>12</v>
      </c>
      <c r="B23" s="20" t="s">
        <v>262</v>
      </c>
      <c r="C23" s="19" t="s">
        <v>33</v>
      </c>
      <c r="D23" s="19">
        <v>20</v>
      </c>
      <c r="E23" s="21">
        <v>20</v>
      </c>
      <c r="F23" s="19">
        <v>20</v>
      </c>
      <c r="G23" s="23"/>
      <c r="I23" s="19">
        <v>12</v>
      </c>
      <c r="J23" s="20" t="s">
        <v>262</v>
      </c>
      <c r="K23" s="19" t="s">
        <v>209</v>
      </c>
      <c r="L23" s="19" t="s">
        <v>205</v>
      </c>
      <c r="M23" s="19"/>
      <c r="N23" s="19"/>
      <c r="O23" s="19"/>
      <c r="P23" s="19" t="s">
        <v>210</v>
      </c>
      <c r="Q23" s="19" t="s">
        <v>211</v>
      </c>
    </row>
    <row r="24" s="2" customFormat="1" ht="48.75" customHeight="1" spans="1:17">
      <c r="A24" s="19">
        <v>13</v>
      </c>
      <c r="B24" s="20" t="s">
        <v>351</v>
      </c>
      <c r="C24" s="19" t="s">
        <v>33</v>
      </c>
      <c r="D24" s="19">
        <v>15</v>
      </c>
      <c r="E24" s="21">
        <v>15</v>
      </c>
      <c r="F24" s="19">
        <v>15</v>
      </c>
      <c r="G24" s="20"/>
      <c r="I24" s="19">
        <v>13</v>
      </c>
      <c r="J24" s="20" t="s">
        <v>351</v>
      </c>
      <c r="K24" s="19" t="s">
        <v>209</v>
      </c>
      <c r="L24" s="19" t="s">
        <v>205</v>
      </c>
      <c r="M24" s="19"/>
      <c r="N24" s="19"/>
      <c r="O24" s="19"/>
      <c r="P24" s="19" t="s">
        <v>210</v>
      </c>
      <c r="Q24" s="19" t="s">
        <v>211</v>
      </c>
    </row>
    <row r="25" s="2" customFormat="1" ht="48.75" customHeight="1" spans="1:17">
      <c r="A25" s="19">
        <v>14</v>
      </c>
      <c r="B25" s="23" t="s">
        <v>263</v>
      </c>
      <c r="C25" s="19" t="s">
        <v>33</v>
      </c>
      <c r="D25" s="19">
        <v>15</v>
      </c>
      <c r="E25" s="21">
        <v>15</v>
      </c>
      <c r="F25" s="19">
        <v>15</v>
      </c>
      <c r="G25" s="23"/>
      <c r="I25" s="19">
        <v>14</v>
      </c>
      <c r="J25" s="23" t="s">
        <v>263</v>
      </c>
      <c r="K25" s="19" t="s">
        <v>209</v>
      </c>
      <c r="L25" s="19" t="s">
        <v>205</v>
      </c>
      <c r="M25" s="19"/>
      <c r="N25" s="19"/>
      <c r="O25" s="19"/>
      <c r="P25" s="19" t="s">
        <v>210</v>
      </c>
      <c r="Q25" s="19" t="s">
        <v>211</v>
      </c>
    </row>
    <row r="26" s="2" customFormat="1" ht="48.75" customHeight="1" spans="1:17">
      <c r="A26" s="14" t="s">
        <v>305</v>
      </c>
      <c r="B26" s="14"/>
      <c r="C26" s="42"/>
      <c r="D26" s="43"/>
      <c r="E26" s="43"/>
      <c r="F26" s="43"/>
      <c r="G26" s="43"/>
      <c r="I26" s="14" t="s">
        <v>305</v>
      </c>
      <c r="J26" s="14"/>
      <c r="K26" s="42"/>
      <c r="L26" s="43"/>
      <c r="M26" s="43"/>
      <c r="N26" s="43"/>
      <c r="O26" s="43"/>
      <c r="P26" s="42"/>
      <c r="Q26" s="43"/>
    </row>
    <row r="27" s="2" customFormat="1" ht="48.75" customHeight="1" spans="1:17">
      <c r="A27" s="19">
        <v>15</v>
      </c>
      <c r="B27" s="23" t="s">
        <v>306</v>
      </c>
      <c r="C27" s="19" t="s">
        <v>33</v>
      </c>
      <c r="D27" s="19">
        <v>5</v>
      </c>
      <c r="E27" s="21">
        <v>0</v>
      </c>
      <c r="F27" s="19">
        <v>0</v>
      </c>
      <c r="G27" s="23" t="s">
        <v>456</v>
      </c>
      <c r="I27" s="50">
        <v>15</v>
      </c>
      <c r="J27" s="51" t="s">
        <v>306</v>
      </c>
      <c r="K27" s="50" t="s">
        <v>209</v>
      </c>
      <c r="L27" s="50" t="s">
        <v>205</v>
      </c>
      <c r="M27" s="50"/>
      <c r="N27" s="50"/>
      <c r="O27" s="50"/>
      <c r="P27" s="50" t="s">
        <v>210</v>
      </c>
      <c r="Q27" s="50" t="s">
        <v>211</v>
      </c>
    </row>
    <row r="28" s="2" customFormat="1" ht="48.75" customHeight="1" spans="1:17">
      <c r="A28" s="19">
        <v>16</v>
      </c>
      <c r="B28" s="23" t="s">
        <v>457</v>
      </c>
      <c r="C28" s="19" t="s">
        <v>33</v>
      </c>
      <c r="D28" s="19">
        <v>10</v>
      </c>
      <c r="E28" s="21">
        <v>0</v>
      </c>
      <c r="F28" s="19">
        <v>10</v>
      </c>
      <c r="G28" s="23" t="s">
        <v>40</v>
      </c>
      <c r="I28" s="52"/>
      <c r="J28" s="53"/>
      <c r="K28" s="52"/>
      <c r="L28" s="52"/>
      <c r="M28" s="52"/>
      <c r="N28" s="52"/>
      <c r="O28" s="52"/>
      <c r="P28" s="52"/>
      <c r="Q28" s="52"/>
    </row>
    <row r="29" s="2" customFormat="1" ht="48.75" customHeight="1" spans="1:17">
      <c r="A29" s="19">
        <v>17</v>
      </c>
      <c r="B29" s="23" t="s">
        <v>369</v>
      </c>
      <c r="C29" s="19" t="s">
        <v>33</v>
      </c>
      <c r="D29" s="19">
        <v>10</v>
      </c>
      <c r="E29" s="21">
        <v>0</v>
      </c>
      <c r="F29" s="19">
        <v>10</v>
      </c>
      <c r="G29" s="23" t="s">
        <v>458</v>
      </c>
      <c r="I29" s="52"/>
      <c r="J29" s="53"/>
      <c r="K29" s="52"/>
      <c r="L29" s="52"/>
      <c r="M29" s="52"/>
      <c r="N29" s="52"/>
      <c r="O29" s="52"/>
      <c r="P29" s="52"/>
      <c r="Q29" s="52"/>
    </row>
    <row r="30" s="2" customFormat="1" ht="48.75" customHeight="1" spans="1:17">
      <c r="A30" s="64"/>
      <c r="B30" s="65" t="s">
        <v>270</v>
      </c>
      <c r="C30" s="66"/>
      <c r="D30" s="19">
        <f>SUM(D7:D29)</f>
        <v>220</v>
      </c>
      <c r="E30" s="21">
        <f>SUM(E5:E29)</f>
        <v>130</v>
      </c>
      <c r="F30" s="19">
        <f>SUM(F5:F29)</f>
        <v>150</v>
      </c>
      <c r="G30" s="23"/>
      <c r="I30" s="67"/>
      <c r="J30" s="53"/>
      <c r="K30" s="52"/>
      <c r="L30" s="52"/>
      <c r="M30" s="52"/>
      <c r="N30" s="52"/>
      <c r="O30" s="52"/>
      <c r="P30" s="52"/>
      <c r="Q30" s="52"/>
    </row>
    <row r="31" s="2" customFormat="1" ht="48.75" customHeight="1" spans="1:16">
      <c r="A31" s="64"/>
      <c r="B31" s="65" t="s">
        <v>271</v>
      </c>
      <c r="C31" s="66"/>
      <c r="D31" s="19">
        <f>(D30/D30)*100</f>
        <v>100</v>
      </c>
      <c r="E31" s="26">
        <f>+E30/D30*100</f>
        <v>59.0909090909091</v>
      </c>
      <c r="F31" s="27">
        <f>+F30/D30*100</f>
        <v>68.1818181818182</v>
      </c>
      <c r="G31" s="23"/>
      <c r="I31" s="68"/>
      <c r="J31" s="68"/>
      <c r="K31" s="4"/>
      <c r="P31" s="4"/>
    </row>
    <row r="32" s="2" customFormat="1" ht="48.75" customHeight="1" spans="1:17">
      <c r="A32" s="3"/>
      <c r="B32" s="3"/>
      <c r="C32" s="5"/>
      <c r="D32" s="3"/>
      <c r="E32" s="5"/>
      <c r="F32" s="5"/>
      <c r="I32" s="4"/>
      <c r="K32" s="5"/>
      <c r="L32" s="4"/>
      <c r="M32" s="4"/>
      <c r="N32" s="4"/>
      <c r="O32" s="4"/>
      <c r="P32" s="4"/>
      <c r="Q32" s="4"/>
    </row>
    <row r="33" s="2" customFormat="1" ht="48.75" customHeight="1" spans="1:16">
      <c r="A33" s="3"/>
      <c r="B33" s="3"/>
      <c r="C33" s="5"/>
      <c r="D33" s="3"/>
      <c r="E33" s="5"/>
      <c r="F33" s="5"/>
      <c r="I33" s="3"/>
      <c r="J33" s="69"/>
      <c r="K33" s="5"/>
      <c r="L33" s="4"/>
      <c r="M33" s="4"/>
      <c r="N33" s="4"/>
      <c r="O33" s="4"/>
      <c r="P33" s="4"/>
    </row>
    <row r="34" s="2" customFormat="1" ht="48.75" customHeight="1" spans="1:16">
      <c r="A34" s="3"/>
      <c r="B34" s="3"/>
      <c r="C34" s="5"/>
      <c r="D34" s="3"/>
      <c r="E34" s="5"/>
      <c r="F34" s="5"/>
      <c r="I34" s="3"/>
      <c r="J34" s="69"/>
      <c r="K34" s="5"/>
      <c r="L34" s="4"/>
      <c r="M34" s="4"/>
      <c r="N34" s="4"/>
      <c r="O34" s="4"/>
      <c r="P34" s="58"/>
    </row>
    <row r="35" s="2" customFormat="1" ht="57.75" customHeight="1" spans="1:6">
      <c r="A35" s="3"/>
      <c r="B35" s="3"/>
      <c r="C35" s="5"/>
      <c r="D35" s="3"/>
      <c r="E35" s="5"/>
      <c r="F35" s="5"/>
    </row>
    <row r="36" s="2" customFormat="1" ht="30" customHeight="1" spans="1:6">
      <c r="A36" s="3"/>
      <c r="B36" s="3"/>
      <c r="C36" s="5"/>
      <c r="D36" s="3"/>
      <c r="E36" s="5"/>
      <c r="F36" s="5"/>
    </row>
    <row r="37" s="2" customFormat="1" ht="30" customHeight="1" spans="1:6">
      <c r="A37" s="3"/>
      <c r="B37" s="3"/>
      <c r="C37" s="5"/>
      <c r="D37" s="3"/>
      <c r="E37" s="5"/>
      <c r="F37" s="5"/>
    </row>
    <row r="38" s="2" customFormat="1" ht="30" customHeight="1" spans="1:6">
      <c r="A38" s="3"/>
      <c r="B38" s="3"/>
      <c r="C38" s="5"/>
      <c r="D38" s="3"/>
      <c r="E38" s="5"/>
      <c r="F38" s="5"/>
    </row>
    <row r="39" s="2" customFormat="1" ht="30" customHeight="1" spans="1:6">
      <c r="A39" s="3"/>
      <c r="B39" s="3"/>
      <c r="C39" s="5"/>
      <c r="D39" s="3"/>
      <c r="E39" s="5"/>
      <c r="F39" s="5"/>
    </row>
    <row r="40" s="2" customFormat="1" ht="30" customHeight="1" spans="1:6">
      <c r="A40" s="3"/>
      <c r="B40" s="3"/>
      <c r="C40" s="5"/>
      <c r="D40" s="3"/>
      <c r="E40" s="5"/>
      <c r="F40" s="5"/>
    </row>
    <row r="41" s="2" customFormat="1" ht="30" customHeight="1" spans="1:6">
      <c r="A41" s="3"/>
      <c r="B41" s="3"/>
      <c r="C41" s="5"/>
      <c r="D41" s="3"/>
      <c r="E41" s="5"/>
      <c r="F41" s="5"/>
    </row>
    <row r="42" s="2" customFormat="1" ht="30" customHeight="1" spans="1:6">
      <c r="A42" s="3"/>
      <c r="B42" s="3"/>
      <c r="C42" s="5"/>
      <c r="D42" s="3"/>
      <c r="E42" s="5"/>
      <c r="F42" s="5"/>
    </row>
    <row r="43" s="2" customFormat="1" ht="30" customHeight="1" spans="1:6">
      <c r="A43" s="3"/>
      <c r="B43" s="3"/>
      <c r="C43" s="5"/>
      <c r="D43" s="3"/>
      <c r="E43" s="5"/>
      <c r="F43" s="5"/>
    </row>
    <row r="44" s="2" customFormat="1" ht="30" customHeight="1" spans="1:6">
      <c r="A44" s="3"/>
      <c r="B44" s="3"/>
      <c r="C44" s="5"/>
      <c r="D44" s="3"/>
      <c r="E44" s="5"/>
      <c r="F44" s="5"/>
    </row>
    <row r="45" s="2" customFormat="1" ht="30" customHeight="1" spans="1:6">
      <c r="A45" s="3"/>
      <c r="B45" s="3"/>
      <c r="C45" s="5"/>
      <c r="D45" s="3"/>
      <c r="E45" s="5"/>
      <c r="F45" s="5"/>
    </row>
    <row r="46" s="2" customFormat="1" ht="30" customHeight="1" spans="1:6">
      <c r="A46" s="3"/>
      <c r="B46" s="3"/>
      <c r="C46" s="5"/>
      <c r="D46" s="3"/>
      <c r="E46" s="5"/>
      <c r="F46" s="5"/>
    </row>
    <row r="47" s="2" customFormat="1" ht="30" customHeight="1" spans="1:6">
      <c r="A47" s="3"/>
      <c r="B47" s="3"/>
      <c r="C47" s="5"/>
      <c r="D47" s="3"/>
      <c r="E47" s="5"/>
      <c r="F47" s="5"/>
    </row>
    <row r="48" s="2" customFormat="1" ht="30" customHeight="1" spans="1:6">
      <c r="A48" s="3"/>
      <c r="B48" s="3"/>
      <c r="C48" s="5"/>
      <c r="D48" s="3"/>
      <c r="E48" s="5"/>
      <c r="F48" s="5"/>
    </row>
    <row r="49" s="2" customFormat="1" ht="30" customHeight="1" spans="1:6">
      <c r="A49" s="3"/>
      <c r="B49" s="3"/>
      <c r="C49" s="5"/>
      <c r="D49" s="3"/>
      <c r="E49" s="5"/>
      <c r="F49" s="5"/>
    </row>
    <row r="50" s="2" customFormat="1" ht="30" customHeight="1" spans="1:6">
      <c r="A50" s="3"/>
      <c r="B50" s="3"/>
      <c r="C50" s="5"/>
      <c r="D50" s="3"/>
      <c r="E50" s="5"/>
      <c r="F50" s="5"/>
    </row>
    <row r="51" s="2" customFormat="1" ht="30" customHeight="1" spans="1:6">
      <c r="A51" s="3"/>
      <c r="B51" s="3"/>
      <c r="C51" s="5"/>
      <c r="D51" s="3"/>
      <c r="E51" s="5"/>
      <c r="F51" s="5"/>
    </row>
    <row r="52" s="2" customFormat="1" ht="30" customHeight="1" spans="1:6">
      <c r="A52" s="3"/>
      <c r="B52" s="3"/>
      <c r="C52" s="5"/>
      <c r="D52" s="3"/>
      <c r="E52" s="5"/>
      <c r="F52" s="5"/>
    </row>
    <row r="53" s="2" customFormat="1" ht="30" customHeight="1" spans="1:7">
      <c r="A53" s="3"/>
      <c r="B53" s="3"/>
      <c r="C53" s="5"/>
      <c r="D53" s="3"/>
      <c r="E53" s="5"/>
      <c r="F53" s="5"/>
      <c r="G53" s="3"/>
    </row>
    <row r="54" s="2" customFormat="1" ht="30" customHeight="1" spans="1:7">
      <c r="A54" s="3"/>
      <c r="B54" s="3"/>
      <c r="C54" s="5"/>
      <c r="D54" s="3"/>
      <c r="E54" s="5"/>
      <c r="F54" s="5"/>
      <c r="G54" s="3"/>
    </row>
    <row r="55" s="2" customFormat="1" ht="31.5" customHeight="1" spans="1:7">
      <c r="A55" s="3"/>
      <c r="B55" s="3"/>
      <c r="C55" s="5"/>
      <c r="D55" s="3"/>
      <c r="E55" s="5"/>
      <c r="F55" s="5"/>
      <c r="G55" s="3"/>
    </row>
    <row r="56" s="2" customFormat="1" ht="30" customHeight="1" spans="1:7">
      <c r="A56" s="3"/>
      <c r="B56" s="3"/>
      <c r="C56" s="5"/>
      <c r="D56" s="3"/>
      <c r="E56" s="5"/>
      <c r="F56" s="5"/>
      <c r="G56" s="3"/>
    </row>
    <row r="57" s="2" customFormat="1" ht="30" customHeight="1" spans="1:7">
      <c r="A57" s="3"/>
      <c r="B57" s="3"/>
      <c r="C57" s="5"/>
      <c r="D57" s="3"/>
      <c r="E57" s="5"/>
      <c r="F57" s="5"/>
      <c r="G57" s="3"/>
    </row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</sheetData>
  <autoFilter ref="A5:H65">
    <extLst/>
  </autoFilter>
  <mergeCells count="24">
    <mergeCell ref="A2:E2"/>
    <mergeCell ref="A4:G4"/>
    <mergeCell ref="I4:Q4"/>
    <mergeCell ref="A5:B5"/>
    <mergeCell ref="I5:J5"/>
    <mergeCell ref="A6:B6"/>
    <mergeCell ref="I6:J6"/>
    <mergeCell ref="T6:U6"/>
    <mergeCell ref="T7:U7"/>
    <mergeCell ref="T8:U8"/>
    <mergeCell ref="T9:U9"/>
    <mergeCell ref="A11:B11"/>
    <mergeCell ref="I11:J11"/>
    <mergeCell ref="A13:B13"/>
    <mergeCell ref="I13:J13"/>
    <mergeCell ref="A16:B16"/>
    <mergeCell ref="I16:J16"/>
    <mergeCell ref="A20:B20"/>
    <mergeCell ref="I20:J20"/>
    <mergeCell ref="A22:B22"/>
    <mergeCell ref="I22:J22"/>
    <mergeCell ref="A26:B26"/>
    <mergeCell ref="I26:J26"/>
    <mergeCell ref="I31:J31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S101"/>
  <sheetViews>
    <sheetView zoomScale="70" zoomScaleNormal="70" workbookViewId="0">
      <pane ySplit="5" topLeftCell="A24" activePane="bottomLeft" state="frozen"/>
      <selection/>
      <selection pane="bottomLeft" activeCell="E34" sqref="E34"/>
    </sheetView>
  </sheetViews>
  <sheetFormatPr defaultColWidth="8.88888888888889" defaultRowHeight="15.6"/>
  <cols>
    <col min="1" max="1" width="8.88888888888889" style="3"/>
    <col min="2" max="2" width="3.88888888888889" style="4" customWidth="1"/>
    <col min="3" max="3" width="64.2222222222222" style="3" customWidth="1"/>
    <col min="4" max="6" width="20.4444444444444" style="5" customWidth="1"/>
    <col min="7" max="7" width="17.3333333333333" style="5" customWidth="1"/>
    <col min="8" max="8" width="20.4444444444444" style="3" customWidth="1"/>
    <col min="9" max="9" width="8.88888888888889" style="3"/>
    <col min="10" max="10" width="3.88888888888889" style="3" customWidth="1"/>
    <col min="11" max="11" width="85" style="3" customWidth="1"/>
    <col min="12" max="15" width="16.3333333333333" style="3" customWidth="1"/>
    <col min="16" max="16384" width="8.88888888888889" style="3"/>
  </cols>
  <sheetData>
    <row r="1" ht="15" customHeight="1" spans="6:7">
      <c r="F1" s="6"/>
      <c r="G1" s="6"/>
    </row>
    <row r="2" ht="18" customHeight="1" spans="2:9">
      <c r="B2" s="34"/>
      <c r="C2" s="34"/>
      <c r="D2" s="34"/>
      <c r="E2" s="34"/>
      <c r="F2" s="34"/>
      <c r="G2" s="34"/>
      <c r="H2" s="35"/>
      <c r="I2" s="35"/>
    </row>
    <row r="3" ht="15" customHeight="1" spans="6:7">
      <c r="F3" s="6"/>
      <c r="G3" s="6"/>
    </row>
    <row r="4" ht="30" customHeight="1" spans="2:15">
      <c r="B4" s="36" t="s">
        <v>459</v>
      </c>
      <c r="C4" s="36"/>
      <c r="D4" s="36"/>
      <c r="E4" s="36"/>
      <c r="F4" s="36"/>
      <c r="G4" s="37"/>
      <c r="H4" s="38"/>
      <c r="J4" s="36" t="s">
        <v>460</v>
      </c>
      <c r="K4" s="36"/>
      <c r="L4" s="36"/>
      <c r="M4" s="36"/>
      <c r="N4" s="36"/>
      <c r="O4" s="38"/>
    </row>
    <row r="5" ht="30" customHeight="1" spans="2:15">
      <c r="B5" s="39" t="s">
        <v>194</v>
      </c>
      <c r="C5" s="39"/>
      <c r="D5" s="10" t="s">
        <v>195</v>
      </c>
      <c r="E5" s="39" t="s">
        <v>196</v>
      </c>
      <c r="F5" s="40" t="s">
        <v>197</v>
      </c>
      <c r="G5" s="13" t="s">
        <v>198</v>
      </c>
      <c r="H5" s="39" t="s">
        <v>199</v>
      </c>
      <c r="J5" s="39" t="s">
        <v>194</v>
      </c>
      <c r="K5" s="39"/>
      <c r="L5" s="10"/>
      <c r="M5" s="39"/>
      <c r="N5" s="39"/>
      <c r="O5" s="39"/>
    </row>
    <row r="6" s="1" customFormat="1" ht="30" customHeight="1" spans="2:15">
      <c r="B6" s="14" t="s">
        <v>200</v>
      </c>
      <c r="C6" s="14"/>
      <c r="D6" s="15"/>
      <c r="E6" s="15"/>
      <c r="F6" s="17"/>
      <c r="G6" s="17"/>
      <c r="H6" s="18"/>
      <c r="J6" s="14" t="s">
        <v>200</v>
      </c>
      <c r="K6" s="14"/>
      <c r="L6" s="30" t="s">
        <v>440</v>
      </c>
      <c r="M6" s="30" t="s">
        <v>461</v>
      </c>
      <c r="N6" s="17" t="s">
        <v>277</v>
      </c>
      <c r="O6" s="30" t="s">
        <v>278</v>
      </c>
    </row>
    <row r="7" s="2" customFormat="1" ht="48" customHeight="1" spans="2:19">
      <c r="B7" s="19">
        <v>1</v>
      </c>
      <c r="C7" s="20" t="s">
        <v>295</v>
      </c>
      <c r="D7" s="19" t="s">
        <v>379</v>
      </c>
      <c r="E7" s="19">
        <v>20</v>
      </c>
      <c r="F7" s="21">
        <v>20</v>
      </c>
      <c r="G7" s="19">
        <v>20</v>
      </c>
      <c r="H7" s="23"/>
      <c r="J7" s="19">
        <v>1</v>
      </c>
      <c r="K7" s="20" t="s">
        <v>295</v>
      </c>
      <c r="L7" s="19" t="s">
        <v>209</v>
      </c>
      <c r="M7" s="19" t="s">
        <v>205</v>
      </c>
      <c r="N7" s="19" t="s">
        <v>210</v>
      </c>
      <c r="O7" s="19" t="s">
        <v>211</v>
      </c>
      <c r="Q7" s="31" t="s">
        <v>205</v>
      </c>
      <c r="R7" s="19" t="s">
        <v>4</v>
      </c>
      <c r="S7" s="19"/>
    </row>
    <row r="8" s="2" customFormat="1" ht="48" customHeight="1" spans="2:19">
      <c r="B8" s="19">
        <v>2</v>
      </c>
      <c r="C8" s="20" t="s">
        <v>247</v>
      </c>
      <c r="D8" s="19" t="s">
        <v>379</v>
      </c>
      <c r="E8" s="19">
        <v>10</v>
      </c>
      <c r="F8" s="21">
        <v>10</v>
      </c>
      <c r="G8" s="19">
        <v>10</v>
      </c>
      <c r="H8" s="20"/>
      <c r="J8" s="19">
        <v>2</v>
      </c>
      <c r="K8" s="20" t="s">
        <v>247</v>
      </c>
      <c r="L8" s="19" t="s">
        <v>209</v>
      </c>
      <c r="M8" s="19" t="s">
        <v>205</v>
      </c>
      <c r="N8" s="19" t="s">
        <v>210</v>
      </c>
      <c r="O8" s="19" t="s">
        <v>211</v>
      </c>
      <c r="Q8" s="33" t="s">
        <v>209</v>
      </c>
      <c r="R8" s="19" t="s">
        <v>212</v>
      </c>
      <c r="S8" s="19"/>
    </row>
    <row r="9" s="2" customFormat="1" ht="48" customHeight="1" spans="2:19">
      <c r="B9" s="19">
        <v>3</v>
      </c>
      <c r="C9" s="41" t="s">
        <v>343</v>
      </c>
      <c r="D9" s="19" t="s">
        <v>379</v>
      </c>
      <c r="E9" s="19" t="s">
        <v>399</v>
      </c>
      <c r="F9" s="21" t="s">
        <v>399</v>
      </c>
      <c r="G9" s="19" t="s">
        <v>399</v>
      </c>
      <c r="H9" s="20"/>
      <c r="J9" s="19">
        <v>3</v>
      </c>
      <c r="K9" s="41" t="s">
        <v>343</v>
      </c>
      <c r="L9" s="19" t="s">
        <v>209</v>
      </c>
      <c r="M9" s="19" t="s">
        <v>205</v>
      </c>
      <c r="N9" s="19" t="s">
        <v>210</v>
      </c>
      <c r="O9" s="19" t="s">
        <v>211</v>
      </c>
      <c r="Q9" s="14" t="s">
        <v>210</v>
      </c>
      <c r="R9" s="19" t="s">
        <v>215</v>
      </c>
      <c r="S9" s="19"/>
    </row>
    <row r="10" s="2" customFormat="1" ht="48" customHeight="1" spans="2:19">
      <c r="B10" s="19">
        <v>4</v>
      </c>
      <c r="C10" s="20" t="s">
        <v>315</v>
      </c>
      <c r="D10" s="19" t="s">
        <v>379</v>
      </c>
      <c r="E10" s="19">
        <v>10</v>
      </c>
      <c r="F10" s="21">
        <v>10</v>
      </c>
      <c r="G10" s="19">
        <v>10</v>
      </c>
      <c r="H10" s="20"/>
      <c r="J10" s="19">
        <v>4</v>
      </c>
      <c r="K10" s="20" t="s">
        <v>315</v>
      </c>
      <c r="L10" s="19" t="s">
        <v>209</v>
      </c>
      <c r="M10" s="19" t="s">
        <v>205</v>
      </c>
      <c r="N10" s="19" t="s">
        <v>210</v>
      </c>
      <c r="O10" s="19" t="s">
        <v>211</v>
      </c>
      <c r="Q10" s="10" t="s">
        <v>211</v>
      </c>
      <c r="R10" s="19" t="s">
        <v>216</v>
      </c>
      <c r="S10" s="19"/>
    </row>
    <row r="11" s="2" customFormat="1" ht="48" customHeight="1" spans="2:15">
      <c r="B11" s="30" t="s">
        <v>344</v>
      </c>
      <c r="C11" s="30"/>
      <c r="D11" s="42"/>
      <c r="E11" s="42"/>
      <c r="F11" s="42"/>
      <c r="G11" s="42"/>
      <c r="H11" s="43"/>
      <c r="J11" s="30" t="s">
        <v>344</v>
      </c>
      <c r="K11" s="30"/>
      <c r="L11" s="42"/>
      <c r="M11" s="42"/>
      <c r="N11" s="42"/>
      <c r="O11" s="43"/>
    </row>
    <row r="12" s="2" customFormat="1" ht="48" customHeight="1" spans="2:15">
      <c r="B12" s="19">
        <v>6</v>
      </c>
      <c r="C12" s="20" t="s">
        <v>317</v>
      </c>
      <c r="D12" s="19" t="s">
        <v>379</v>
      </c>
      <c r="E12" s="19" t="s">
        <v>399</v>
      </c>
      <c r="F12" s="21" t="s">
        <v>399</v>
      </c>
      <c r="G12" s="19" t="s">
        <v>399</v>
      </c>
      <c r="H12" s="20"/>
      <c r="J12" s="19">
        <v>6</v>
      </c>
      <c r="K12" s="20" t="s">
        <v>317</v>
      </c>
      <c r="L12" s="19" t="s">
        <v>209</v>
      </c>
      <c r="M12" s="19" t="s">
        <v>205</v>
      </c>
      <c r="N12" s="19" t="s">
        <v>210</v>
      </c>
      <c r="O12" s="19" t="s">
        <v>211</v>
      </c>
    </row>
    <row r="13" s="2" customFormat="1" ht="48" customHeight="1" spans="2:15">
      <c r="B13" s="30" t="s">
        <v>163</v>
      </c>
      <c r="C13" s="30"/>
      <c r="D13" s="42"/>
      <c r="E13" s="42"/>
      <c r="F13" s="42"/>
      <c r="G13" s="42"/>
      <c r="H13" s="43"/>
      <c r="J13" s="30" t="s">
        <v>163</v>
      </c>
      <c r="K13" s="30"/>
      <c r="L13" s="42"/>
      <c r="M13" s="42"/>
      <c r="N13" s="42"/>
      <c r="O13" s="43"/>
    </row>
    <row r="14" s="2" customFormat="1" ht="48" customHeight="1" spans="2:15">
      <c r="B14" s="19">
        <v>7</v>
      </c>
      <c r="C14" s="20" t="s">
        <v>253</v>
      </c>
      <c r="D14" s="19" t="s">
        <v>379</v>
      </c>
      <c r="E14" s="19">
        <v>10</v>
      </c>
      <c r="F14" s="21">
        <v>10</v>
      </c>
      <c r="G14" s="19">
        <v>10</v>
      </c>
      <c r="H14" s="20"/>
      <c r="J14" s="19">
        <v>7</v>
      </c>
      <c r="K14" s="20" t="s">
        <v>253</v>
      </c>
      <c r="L14" s="19" t="s">
        <v>209</v>
      </c>
      <c r="M14" s="19" t="s">
        <v>205</v>
      </c>
      <c r="N14" s="19" t="s">
        <v>210</v>
      </c>
      <c r="O14" s="19" t="s">
        <v>211</v>
      </c>
    </row>
    <row r="15" s="2" customFormat="1" ht="48" customHeight="1" spans="2:15">
      <c r="B15" s="30" t="s">
        <v>346</v>
      </c>
      <c r="C15" s="30"/>
      <c r="D15" s="42"/>
      <c r="E15" s="42"/>
      <c r="F15" s="42"/>
      <c r="G15" s="42"/>
      <c r="H15" s="43"/>
      <c r="J15" s="30" t="s">
        <v>346</v>
      </c>
      <c r="K15" s="30"/>
      <c r="L15" s="42"/>
      <c r="M15" s="42"/>
      <c r="N15" s="42"/>
      <c r="O15" s="43"/>
    </row>
    <row r="16" s="2" customFormat="1" ht="48" customHeight="1" spans="2:15">
      <c r="B16" s="44">
        <v>8</v>
      </c>
      <c r="C16" s="20" t="s">
        <v>437</v>
      </c>
      <c r="D16" s="19" t="s">
        <v>379</v>
      </c>
      <c r="E16" s="19">
        <v>15</v>
      </c>
      <c r="F16" s="21">
        <v>15</v>
      </c>
      <c r="G16" s="19">
        <v>15</v>
      </c>
      <c r="H16" s="23"/>
      <c r="J16" s="44">
        <v>8</v>
      </c>
      <c r="K16" s="20" t="s">
        <v>437</v>
      </c>
      <c r="L16" s="19" t="s">
        <v>209</v>
      </c>
      <c r="M16" s="19" t="s">
        <v>205</v>
      </c>
      <c r="N16" s="19" t="s">
        <v>210</v>
      </c>
      <c r="O16" s="19" t="s">
        <v>211</v>
      </c>
    </row>
    <row r="17" s="2" customFormat="1" ht="48" customHeight="1" spans="2:15">
      <c r="B17" s="44">
        <v>9</v>
      </c>
      <c r="C17" s="20" t="s">
        <v>369</v>
      </c>
      <c r="D17" s="19" t="s">
        <v>379</v>
      </c>
      <c r="E17" s="19">
        <v>10</v>
      </c>
      <c r="F17" s="21">
        <v>10</v>
      </c>
      <c r="G17" s="19">
        <v>10</v>
      </c>
      <c r="H17" s="20"/>
      <c r="J17" s="44">
        <v>9</v>
      </c>
      <c r="K17" s="20" t="s">
        <v>369</v>
      </c>
      <c r="L17" s="19" t="s">
        <v>209</v>
      </c>
      <c r="M17" s="19" t="s">
        <v>205</v>
      </c>
      <c r="N17" s="19" t="s">
        <v>210</v>
      </c>
      <c r="O17" s="19" t="s">
        <v>211</v>
      </c>
    </row>
    <row r="18" s="2" customFormat="1" ht="48" customHeight="1" spans="2:15">
      <c r="B18" s="30" t="s">
        <v>320</v>
      </c>
      <c r="C18" s="30"/>
      <c r="D18" s="42"/>
      <c r="E18" s="42"/>
      <c r="F18" s="42"/>
      <c r="G18" s="42"/>
      <c r="H18" s="43"/>
      <c r="J18" s="30" t="s">
        <v>320</v>
      </c>
      <c r="K18" s="30"/>
      <c r="L18" s="19" t="s">
        <v>209</v>
      </c>
      <c r="M18" s="19" t="s">
        <v>205</v>
      </c>
      <c r="N18" s="19" t="s">
        <v>210</v>
      </c>
      <c r="O18" s="19" t="s">
        <v>211</v>
      </c>
    </row>
    <row r="19" s="2" customFormat="1" ht="48" customHeight="1" spans="2:15">
      <c r="B19" s="19">
        <v>10</v>
      </c>
      <c r="C19" s="20" t="s">
        <v>260</v>
      </c>
      <c r="D19" s="19" t="s">
        <v>379</v>
      </c>
      <c r="E19" s="19">
        <v>15</v>
      </c>
      <c r="F19" s="21">
        <v>15</v>
      </c>
      <c r="G19" s="19">
        <v>15</v>
      </c>
      <c r="H19" s="23"/>
      <c r="J19" s="19">
        <v>10</v>
      </c>
      <c r="K19" s="20" t="s">
        <v>260</v>
      </c>
      <c r="L19" s="19" t="s">
        <v>209</v>
      </c>
      <c r="M19" s="19" t="s">
        <v>205</v>
      </c>
      <c r="N19" s="19" t="s">
        <v>210</v>
      </c>
      <c r="O19" s="19" t="s">
        <v>211</v>
      </c>
    </row>
    <row r="20" s="2" customFormat="1" ht="48" customHeight="1" spans="2:15">
      <c r="B20" s="30" t="s">
        <v>327</v>
      </c>
      <c r="C20" s="30"/>
      <c r="D20" s="45"/>
      <c r="E20" s="42"/>
      <c r="F20" s="42"/>
      <c r="G20" s="42"/>
      <c r="H20" s="43"/>
      <c r="J20" s="30" t="s">
        <v>327</v>
      </c>
      <c r="K20" s="30"/>
      <c r="L20" s="42"/>
      <c r="M20" s="42"/>
      <c r="N20" s="42"/>
      <c r="O20" s="43"/>
    </row>
    <row r="21" s="2" customFormat="1" ht="48" customHeight="1" spans="2:15">
      <c r="B21" s="19">
        <v>11</v>
      </c>
      <c r="C21" s="23" t="s">
        <v>352</v>
      </c>
      <c r="D21" s="19" t="s">
        <v>379</v>
      </c>
      <c r="E21" s="19">
        <v>5</v>
      </c>
      <c r="F21" s="21">
        <v>5</v>
      </c>
      <c r="G21" s="19">
        <v>5</v>
      </c>
      <c r="H21" s="20"/>
      <c r="J21" s="19">
        <v>11</v>
      </c>
      <c r="K21" s="23" t="s">
        <v>352</v>
      </c>
      <c r="L21" s="19" t="s">
        <v>209</v>
      </c>
      <c r="M21" s="19" t="s">
        <v>205</v>
      </c>
      <c r="N21" s="19" t="s">
        <v>210</v>
      </c>
      <c r="O21" s="19" t="s">
        <v>211</v>
      </c>
    </row>
    <row r="22" s="2" customFormat="1" ht="48" customHeight="1" spans="2:15">
      <c r="B22" s="19">
        <v>12</v>
      </c>
      <c r="C22" s="23" t="s">
        <v>353</v>
      </c>
      <c r="D22" s="46" t="s">
        <v>379</v>
      </c>
      <c r="E22" s="19">
        <v>5</v>
      </c>
      <c r="F22" s="21">
        <v>5</v>
      </c>
      <c r="G22" s="19">
        <v>5</v>
      </c>
      <c r="H22" s="23"/>
      <c r="J22" s="19">
        <v>12</v>
      </c>
      <c r="K22" s="23" t="s">
        <v>353</v>
      </c>
      <c r="L22" s="19" t="s">
        <v>209</v>
      </c>
      <c r="M22" s="19" t="s">
        <v>205</v>
      </c>
      <c r="N22" s="19" t="s">
        <v>210</v>
      </c>
      <c r="O22" s="19" t="s">
        <v>211</v>
      </c>
    </row>
    <row r="23" s="2" customFormat="1" ht="48" customHeight="1" spans="2:15">
      <c r="B23" s="19">
        <v>13</v>
      </c>
      <c r="C23" s="23" t="s">
        <v>329</v>
      </c>
      <c r="D23" s="19" t="s">
        <v>379</v>
      </c>
      <c r="E23" s="19">
        <v>5</v>
      </c>
      <c r="F23" s="21">
        <v>5</v>
      </c>
      <c r="G23" s="19">
        <v>5</v>
      </c>
      <c r="H23" s="20"/>
      <c r="J23" s="19">
        <v>13</v>
      </c>
      <c r="K23" s="23" t="s">
        <v>329</v>
      </c>
      <c r="L23" s="19" t="s">
        <v>209</v>
      </c>
      <c r="M23" s="19" t="s">
        <v>205</v>
      </c>
      <c r="N23" s="19" t="s">
        <v>210</v>
      </c>
      <c r="O23" s="19" t="s">
        <v>211</v>
      </c>
    </row>
    <row r="24" s="2" customFormat="1" ht="48" customHeight="1" spans="2:15">
      <c r="B24" s="47">
        <v>14</v>
      </c>
      <c r="C24" s="23" t="s">
        <v>330</v>
      </c>
      <c r="D24" s="19" t="s">
        <v>379</v>
      </c>
      <c r="E24" s="19">
        <v>5</v>
      </c>
      <c r="F24" s="21">
        <v>5</v>
      </c>
      <c r="G24" s="19">
        <v>5</v>
      </c>
      <c r="H24" s="20"/>
      <c r="J24" s="47">
        <v>14</v>
      </c>
      <c r="K24" s="23" t="s">
        <v>330</v>
      </c>
      <c r="L24" s="19" t="s">
        <v>209</v>
      </c>
      <c r="M24" s="19" t="s">
        <v>205</v>
      </c>
      <c r="N24" s="19" t="s">
        <v>210</v>
      </c>
      <c r="O24" s="19" t="s">
        <v>211</v>
      </c>
    </row>
    <row r="25" s="2" customFormat="1" ht="48" customHeight="1" spans="2:15">
      <c r="B25" s="30" t="s">
        <v>305</v>
      </c>
      <c r="C25" s="30"/>
      <c r="D25" s="45"/>
      <c r="E25" s="42"/>
      <c r="F25" s="42"/>
      <c r="G25" s="42"/>
      <c r="H25" s="43"/>
      <c r="J25" s="30" t="s">
        <v>305</v>
      </c>
      <c r="K25" s="30"/>
      <c r="L25" s="42"/>
      <c r="M25" s="42"/>
      <c r="N25" s="42"/>
      <c r="O25" s="43"/>
    </row>
    <row r="26" s="2" customFormat="1" ht="48" customHeight="1" spans="2:15">
      <c r="B26" s="19">
        <v>15</v>
      </c>
      <c r="C26" s="23" t="s">
        <v>269</v>
      </c>
      <c r="D26" s="44" t="s">
        <v>379</v>
      </c>
      <c r="E26" s="19" t="s">
        <v>399</v>
      </c>
      <c r="F26" s="21" t="s">
        <v>399</v>
      </c>
      <c r="G26" s="19" t="s">
        <v>399</v>
      </c>
      <c r="H26" s="20"/>
      <c r="J26" s="19">
        <v>15</v>
      </c>
      <c r="K26" s="23" t="s">
        <v>269</v>
      </c>
      <c r="L26" s="19" t="s">
        <v>209</v>
      </c>
      <c r="M26" s="19" t="s">
        <v>205</v>
      </c>
      <c r="N26" s="19" t="s">
        <v>210</v>
      </c>
      <c r="O26" s="19" t="s">
        <v>211</v>
      </c>
    </row>
    <row r="27" s="2" customFormat="1" ht="48" customHeight="1" spans="2:15">
      <c r="B27" s="19">
        <v>16</v>
      </c>
      <c r="C27" s="48" t="s">
        <v>374</v>
      </c>
      <c r="D27" s="19" t="s">
        <v>379</v>
      </c>
      <c r="E27" s="19">
        <v>5</v>
      </c>
      <c r="F27" s="21">
        <v>5</v>
      </c>
      <c r="G27" s="19">
        <v>5</v>
      </c>
      <c r="H27" s="20"/>
      <c r="J27" s="19">
        <v>16</v>
      </c>
      <c r="K27" s="48" t="s">
        <v>374</v>
      </c>
      <c r="L27" s="19" t="s">
        <v>209</v>
      </c>
      <c r="M27" s="19" t="s">
        <v>205</v>
      </c>
      <c r="N27" s="19" t="s">
        <v>210</v>
      </c>
      <c r="O27" s="19" t="s">
        <v>211</v>
      </c>
    </row>
    <row r="28" s="2" customFormat="1" ht="48" customHeight="1" spans="2:15">
      <c r="B28" s="19">
        <v>17</v>
      </c>
      <c r="C28" s="48" t="s">
        <v>356</v>
      </c>
      <c r="D28" s="19" t="s">
        <v>379</v>
      </c>
      <c r="E28" s="19">
        <v>10</v>
      </c>
      <c r="F28" s="21">
        <v>10</v>
      </c>
      <c r="G28" s="19">
        <v>10</v>
      </c>
      <c r="H28" s="23"/>
      <c r="J28" s="19">
        <v>17</v>
      </c>
      <c r="K28" s="48" t="s">
        <v>356</v>
      </c>
      <c r="L28" s="19" t="s">
        <v>209</v>
      </c>
      <c r="M28" s="19" t="s">
        <v>205</v>
      </c>
      <c r="N28" s="19" t="s">
        <v>210</v>
      </c>
      <c r="O28" s="19" t="s">
        <v>211</v>
      </c>
    </row>
    <row r="29" s="2" customFormat="1" ht="48" customHeight="1" spans="2:15">
      <c r="B29" s="19">
        <v>18</v>
      </c>
      <c r="C29" s="23" t="s">
        <v>306</v>
      </c>
      <c r="D29" s="19" t="s">
        <v>379</v>
      </c>
      <c r="E29" s="19">
        <v>5</v>
      </c>
      <c r="F29" s="21">
        <v>5</v>
      </c>
      <c r="G29" s="19">
        <v>5</v>
      </c>
      <c r="H29" s="20"/>
      <c r="J29" s="50">
        <v>18</v>
      </c>
      <c r="K29" s="51" t="s">
        <v>306</v>
      </c>
      <c r="L29" s="19" t="s">
        <v>209</v>
      </c>
      <c r="M29" s="19" t="s">
        <v>205</v>
      </c>
      <c r="N29" s="19" t="s">
        <v>210</v>
      </c>
      <c r="O29" s="19" t="s">
        <v>211</v>
      </c>
    </row>
    <row r="30" s="2" customFormat="1" ht="48" customHeight="1" spans="2:15">
      <c r="B30" s="19"/>
      <c r="C30" s="49" t="s">
        <v>270</v>
      </c>
      <c r="D30" s="19"/>
      <c r="E30" s="19">
        <f>SUM(E7:E29)</f>
        <v>130</v>
      </c>
      <c r="F30" s="21">
        <f>SUM(F7:F29)</f>
        <v>130</v>
      </c>
      <c r="G30" s="19">
        <f>SUM(G7:G29)</f>
        <v>130</v>
      </c>
      <c r="H30" s="23"/>
      <c r="J30" s="52"/>
      <c r="K30" s="53"/>
      <c r="L30" s="52"/>
      <c r="M30" s="52"/>
      <c r="N30" s="52"/>
      <c r="O30" s="52"/>
    </row>
    <row r="31" s="2" customFormat="1" ht="48" customHeight="1" spans="2:15">
      <c r="B31" s="19"/>
      <c r="C31" s="49" t="s">
        <v>271</v>
      </c>
      <c r="D31" s="19"/>
      <c r="E31" s="19">
        <f>(E30/E30)*100</f>
        <v>100</v>
      </c>
      <c r="F31" s="26">
        <f>+F30/E30*100</f>
        <v>100</v>
      </c>
      <c r="G31" s="27">
        <f>+G30/E30*100</f>
        <v>100</v>
      </c>
      <c r="H31" s="23"/>
      <c r="J31" s="4"/>
      <c r="L31" s="4"/>
      <c r="M31" s="4"/>
      <c r="N31" s="4"/>
      <c r="O31" s="4"/>
    </row>
    <row r="32" s="2" customFormat="1" ht="48" customHeight="1" spans="2:15">
      <c r="B32" s="4"/>
      <c r="C32" s="3"/>
      <c r="D32" s="5"/>
      <c r="E32" s="5"/>
      <c r="F32" s="5"/>
      <c r="G32" s="5"/>
      <c r="J32" s="4"/>
      <c r="L32" s="4"/>
      <c r="M32" s="4"/>
      <c r="N32" s="4"/>
      <c r="O32" s="4"/>
    </row>
    <row r="33" s="2" customFormat="1" ht="48" customHeight="1" spans="2:14">
      <c r="B33" s="4"/>
      <c r="C33" s="3"/>
      <c r="D33" s="5"/>
      <c r="E33" s="5"/>
      <c r="F33" s="5"/>
      <c r="G33" s="5"/>
      <c r="J33" s="54"/>
      <c r="K33" s="54"/>
      <c r="L33" s="55"/>
      <c r="M33" s="4"/>
      <c r="N33" s="4"/>
    </row>
    <row r="34" s="2" customFormat="1" ht="48" customHeight="1" spans="2:15">
      <c r="B34" s="4"/>
      <c r="C34" s="3"/>
      <c r="D34" s="5"/>
      <c r="E34" s="5"/>
      <c r="F34" s="5"/>
      <c r="G34" s="5"/>
      <c r="J34" s="4"/>
      <c r="L34" s="4"/>
      <c r="M34" s="4"/>
      <c r="N34" s="4"/>
      <c r="O34" s="4"/>
    </row>
    <row r="35" s="2" customFormat="1" ht="48" customHeight="1" spans="2:15">
      <c r="B35" s="4"/>
      <c r="C35" s="3"/>
      <c r="D35" s="5"/>
      <c r="E35" s="5"/>
      <c r="F35" s="5"/>
      <c r="G35" s="5"/>
      <c r="J35" s="4"/>
      <c r="K35" s="56"/>
      <c r="L35" s="4"/>
      <c r="M35" s="4"/>
      <c r="N35" s="4"/>
      <c r="O35" s="4"/>
    </row>
    <row r="36" s="2" customFormat="1" ht="48" customHeight="1" spans="2:15">
      <c r="B36" s="4"/>
      <c r="C36" s="3"/>
      <c r="D36" s="5"/>
      <c r="E36" s="5"/>
      <c r="F36" s="5"/>
      <c r="G36" s="5"/>
      <c r="J36" s="4"/>
      <c r="K36" s="56"/>
      <c r="L36" s="4"/>
      <c r="M36" s="4"/>
      <c r="N36" s="4"/>
      <c r="O36" s="4"/>
    </row>
    <row r="37" s="2" customFormat="1" ht="48" customHeight="1" spans="2:15">
      <c r="B37" s="4"/>
      <c r="C37" s="3"/>
      <c r="D37" s="5"/>
      <c r="E37" s="5"/>
      <c r="F37" s="5"/>
      <c r="G37" s="5"/>
      <c r="J37" s="4"/>
      <c r="L37" s="4"/>
      <c r="M37" s="4"/>
      <c r="N37" s="4"/>
      <c r="O37" s="4"/>
    </row>
    <row r="38" s="2" customFormat="1" ht="48" customHeight="1" spans="2:14">
      <c r="B38" s="4"/>
      <c r="C38" s="3"/>
      <c r="D38" s="5"/>
      <c r="E38" s="5"/>
      <c r="F38" s="5"/>
      <c r="G38" s="5"/>
      <c r="J38" s="4"/>
      <c r="K38" s="57"/>
      <c r="L38" s="4"/>
      <c r="M38" s="4"/>
      <c r="N38" s="4"/>
    </row>
    <row r="39" s="2" customFormat="1" ht="48" customHeight="1" spans="2:14">
      <c r="B39" s="4"/>
      <c r="C39" s="3"/>
      <c r="D39" s="5"/>
      <c r="E39" s="5"/>
      <c r="F39" s="5"/>
      <c r="G39" s="5"/>
      <c r="J39" s="4"/>
      <c r="K39" s="57"/>
      <c r="L39" s="4"/>
      <c r="M39" s="4"/>
      <c r="N39" s="58"/>
    </row>
    <row r="40" s="2" customFormat="1" ht="42" customHeight="1" spans="2:7">
      <c r="B40" s="4"/>
      <c r="C40" s="3"/>
      <c r="D40" s="5"/>
      <c r="E40" s="5"/>
      <c r="F40" s="5"/>
      <c r="G40" s="5"/>
    </row>
    <row r="41" s="2" customFormat="1" ht="42" customHeight="1" spans="2:7">
      <c r="B41" s="4"/>
      <c r="C41" s="3"/>
      <c r="D41" s="5"/>
      <c r="E41" s="5"/>
      <c r="F41" s="5"/>
      <c r="G41" s="5"/>
    </row>
    <row r="42" s="2" customFormat="1" ht="39.75" customHeight="1" spans="2:7">
      <c r="B42" s="4"/>
      <c r="C42" s="3"/>
      <c r="D42" s="5"/>
      <c r="E42" s="5"/>
      <c r="F42" s="5"/>
      <c r="G42" s="5"/>
    </row>
    <row r="43" s="2" customFormat="1" ht="33" customHeight="1" spans="2:7">
      <c r="B43" s="4"/>
      <c r="C43" s="3"/>
      <c r="D43" s="5"/>
      <c r="E43" s="5"/>
      <c r="F43" s="5"/>
      <c r="G43" s="5"/>
    </row>
    <row r="44" s="2" customFormat="1" ht="51" customHeight="1" spans="2:7">
      <c r="B44" s="4"/>
      <c r="C44" s="3"/>
      <c r="D44" s="5"/>
      <c r="E44" s="5"/>
      <c r="F44" s="5"/>
      <c r="G44" s="5"/>
    </row>
    <row r="45" s="2" customFormat="1" ht="40.5" customHeight="1" spans="2:7">
      <c r="B45" s="4"/>
      <c r="C45" s="3"/>
      <c r="D45" s="5"/>
      <c r="E45" s="5"/>
      <c r="F45" s="5"/>
      <c r="G45" s="5"/>
    </row>
    <row r="46" s="2" customFormat="1" ht="34.5" customHeight="1" spans="2:7">
      <c r="B46" s="4"/>
      <c r="C46" s="3"/>
      <c r="D46" s="5"/>
      <c r="E46" s="5"/>
      <c r="F46" s="5"/>
      <c r="G46" s="5"/>
    </row>
    <row r="47" s="2" customFormat="1" ht="34.5" customHeight="1" spans="2:7">
      <c r="B47" s="4"/>
      <c r="C47" s="3"/>
      <c r="D47" s="5"/>
      <c r="E47" s="5"/>
      <c r="F47" s="5"/>
      <c r="G47" s="5"/>
    </row>
    <row r="48" s="2" customFormat="1" ht="34.5" customHeight="1" spans="2:7">
      <c r="B48" s="4"/>
      <c r="C48" s="3"/>
      <c r="D48" s="5"/>
      <c r="E48" s="5"/>
      <c r="F48" s="5"/>
      <c r="G48" s="5"/>
    </row>
    <row r="49" s="2" customFormat="1" ht="31.5" customHeight="1" spans="2:7">
      <c r="B49" s="4"/>
      <c r="C49" s="3"/>
      <c r="D49" s="5"/>
      <c r="E49" s="5"/>
      <c r="F49" s="5"/>
      <c r="G49" s="5"/>
    </row>
    <row r="50" s="2" customFormat="1" ht="34.5" customHeight="1" spans="2:7">
      <c r="B50" s="4"/>
      <c r="C50" s="3"/>
      <c r="D50" s="5"/>
      <c r="E50" s="5"/>
      <c r="F50" s="5"/>
      <c r="G50" s="5"/>
    </row>
    <row r="51" s="2" customFormat="1" ht="42" customHeight="1" spans="2:7">
      <c r="B51" s="4"/>
      <c r="C51" s="3"/>
      <c r="D51" s="5"/>
      <c r="E51" s="5"/>
      <c r="F51" s="5"/>
      <c r="G51" s="5"/>
    </row>
    <row r="52" s="2" customFormat="1" ht="42" customHeight="1" spans="2:7">
      <c r="B52" s="4"/>
      <c r="C52" s="3"/>
      <c r="D52" s="5"/>
      <c r="E52" s="5"/>
      <c r="F52" s="5"/>
      <c r="G52" s="5"/>
    </row>
    <row r="53" s="2" customFormat="1" ht="42" customHeight="1" spans="2:7">
      <c r="B53" s="4"/>
      <c r="C53" s="3"/>
      <c r="D53" s="5"/>
      <c r="E53" s="5"/>
      <c r="F53" s="5"/>
      <c r="G53" s="5"/>
    </row>
    <row r="54" s="2" customFormat="1" ht="61.5" customHeight="1" spans="2:7">
      <c r="B54" s="4"/>
      <c r="C54" s="3"/>
      <c r="D54" s="5"/>
      <c r="E54" s="5"/>
      <c r="F54" s="5"/>
      <c r="G54" s="5"/>
    </row>
    <row r="55" s="2" customFormat="1" ht="42" customHeight="1" spans="2:7">
      <c r="B55" s="4"/>
      <c r="C55" s="3"/>
      <c r="D55" s="5"/>
      <c r="E55" s="5"/>
      <c r="F55" s="5"/>
      <c r="G55" s="5"/>
    </row>
    <row r="56" s="2" customFormat="1" ht="45" customHeight="1" spans="2:7">
      <c r="B56" s="4"/>
      <c r="C56" s="3"/>
      <c r="D56" s="5"/>
      <c r="E56" s="5"/>
      <c r="F56" s="5"/>
      <c r="G56" s="5"/>
    </row>
    <row r="57" s="2" customFormat="1" ht="37.5" customHeight="1" spans="2:7">
      <c r="B57" s="4"/>
      <c r="C57" s="3"/>
      <c r="D57" s="5"/>
      <c r="E57" s="5"/>
      <c r="F57" s="5"/>
      <c r="G57" s="5"/>
    </row>
    <row r="58" s="2" customFormat="1" ht="30" customHeight="1" spans="2:7">
      <c r="B58" s="4"/>
      <c r="C58" s="3"/>
      <c r="D58" s="5"/>
      <c r="E58" s="5"/>
      <c r="F58" s="5"/>
      <c r="G58" s="5"/>
    </row>
    <row r="59" s="2" customFormat="1" ht="39.75" customHeight="1" spans="2:7">
      <c r="B59" s="4"/>
      <c r="C59" s="3"/>
      <c r="D59" s="5"/>
      <c r="E59" s="5"/>
      <c r="F59" s="5"/>
      <c r="G59" s="5"/>
    </row>
    <row r="60" s="2" customFormat="1" ht="30" customHeight="1" spans="2:7">
      <c r="B60" s="4"/>
      <c r="C60" s="3"/>
      <c r="D60" s="5"/>
      <c r="E60" s="5"/>
      <c r="F60" s="5"/>
      <c r="G60" s="5"/>
    </row>
    <row r="61" s="2" customFormat="1" ht="30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0" customHeight="1" spans="2:7">
      <c r="B63" s="4"/>
      <c r="C63" s="3"/>
      <c r="D63" s="5"/>
      <c r="E63" s="5"/>
      <c r="F63" s="5"/>
      <c r="G63" s="5"/>
    </row>
    <row r="64" s="2" customFormat="1" ht="30" customHeight="1" spans="2:7">
      <c r="B64" s="4"/>
      <c r="C64" s="3"/>
      <c r="D64" s="5"/>
      <c r="E64" s="5"/>
      <c r="F64" s="5"/>
      <c r="G64" s="5"/>
    </row>
    <row r="65" s="2" customFormat="1" ht="30" customHeight="1" spans="2:7">
      <c r="B65" s="4"/>
      <c r="C65" s="3"/>
      <c r="D65" s="5"/>
      <c r="E65" s="5"/>
      <c r="F65" s="5"/>
      <c r="G65" s="5"/>
    </row>
    <row r="66" s="2" customFormat="1" ht="30" customHeight="1" spans="2:7">
      <c r="B66" s="4"/>
      <c r="C66" s="3"/>
      <c r="D66" s="5"/>
      <c r="E66" s="5"/>
      <c r="F66" s="5"/>
      <c r="G66" s="5"/>
    </row>
    <row r="67" s="2" customFormat="1" ht="39.75" customHeight="1" spans="2:8">
      <c r="B67" s="4"/>
      <c r="C67" s="3"/>
      <c r="D67" s="5"/>
      <c r="E67" s="5"/>
      <c r="F67" s="5"/>
      <c r="G67" s="5"/>
      <c r="H67" s="3"/>
    </row>
    <row r="68" s="2" customFormat="1" ht="39.75" customHeight="1" spans="2:8">
      <c r="B68" s="4"/>
      <c r="C68" s="3"/>
      <c r="D68" s="5"/>
      <c r="E68" s="5"/>
      <c r="F68" s="5"/>
      <c r="G68" s="5"/>
      <c r="H68" s="3"/>
    </row>
    <row r="69" s="2" customFormat="1" ht="39.75" customHeight="1" spans="2:8">
      <c r="B69" s="4"/>
      <c r="C69" s="3"/>
      <c r="D69" s="5"/>
      <c r="E69" s="5"/>
      <c r="F69" s="5"/>
      <c r="G69" s="5"/>
      <c r="H69" s="3"/>
    </row>
    <row r="70" s="2" customFormat="1" ht="39.75" customHeight="1" spans="2:8">
      <c r="B70" s="4"/>
      <c r="C70" s="3"/>
      <c r="D70" s="5"/>
      <c r="E70" s="5"/>
      <c r="F70" s="5"/>
      <c r="G70" s="5"/>
      <c r="H70" s="3"/>
    </row>
    <row r="71" s="2" customFormat="1" ht="33.75" customHeight="1" spans="2:8">
      <c r="B71" s="4"/>
      <c r="C71" s="3"/>
      <c r="D71" s="5"/>
      <c r="E71" s="5"/>
      <c r="F71" s="5"/>
      <c r="G71" s="5"/>
      <c r="H71" s="3"/>
    </row>
    <row r="72" s="2" customFormat="1" ht="30" customHeight="1" spans="2:8">
      <c r="B72" s="4"/>
      <c r="C72" s="3"/>
      <c r="D72" s="5"/>
      <c r="E72" s="5"/>
      <c r="F72" s="5"/>
      <c r="G72" s="5"/>
      <c r="H72" s="3"/>
    </row>
    <row r="73" s="2" customFormat="1" ht="30" customHeight="1" spans="2:8">
      <c r="B73" s="4"/>
      <c r="C73" s="3"/>
      <c r="D73" s="5"/>
      <c r="E73" s="5"/>
      <c r="F73" s="5"/>
      <c r="G73" s="5"/>
      <c r="H73" s="3"/>
    </row>
    <row r="74" s="2" customFormat="1" ht="30" customHeight="1" spans="2:9">
      <c r="B74" s="4"/>
      <c r="C74" s="3"/>
      <c r="D74" s="5"/>
      <c r="E74" s="5"/>
      <c r="F74" s="5"/>
      <c r="G74" s="5"/>
      <c r="H74" s="3"/>
      <c r="I74" s="3"/>
    </row>
    <row r="75" s="2" customFormat="1" ht="30" customHeight="1" spans="2:9">
      <c r="B75" s="4"/>
      <c r="C75" s="3"/>
      <c r="D75" s="5"/>
      <c r="E75" s="5"/>
      <c r="F75" s="5"/>
      <c r="G75" s="5"/>
      <c r="H75" s="3"/>
      <c r="I75" s="3"/>
    </row>
    <row r="76" s="2" customFormat="1" ht="30" customHeight="1" spans="2:9">
      <c r="B76" s="4"/>
      <c r="C76" s="3"/>
      <c r="D76" s="5"/>
      <c r="E76" s="5"/>
      <c r="F76" s="5"/>
      <c r="G76" s="5"/>
      <c r="H76" s="3"/>
      <c r="I76" s="3"/>
    </row>
    <row r="77" s="2" customFormat="1" ht="30" customHeight="1" spans="2:9">
      <c r="B77" s="4"/>
      <c r="C77" s="3"/>
      <c r="D77" s="5"/>
      <c r="E77" s="5"/>
      <c r="F77" s="5"/>
      <c r="G77" s="5"/>
      <c r="H77" s="3"/>
      <c r="I77" s="3"/>
    </row>
    <row r="78" s="2" customFormat="1" ht="30" customHeight="1" spans="2:9">
      <c r="B78" s="4"/>
      <c r="C78" s="3"/>
      <c r="D78" s="5"/>
      <c r="E78" s="5"/>
      <c r="F78" s="5"/>
      <c r="G78" s="5"/>
      <c r="H78" s="3"/>
      <c r="I78" s="3"/>
    </row>
    <row r="79" s="2" customFormat="1" ht="30" customHeight="1" spans="2:9">
      <c r="B79" s="4"/>
      <c r="C79" s="3"/>
      <c r="D79" s="5"/>
      <c r="E79" s="5"/>
      <c r="F79" s="5"/>
      <c r="G79" s="5"/>
      <c r="H79" s="3"/>
      <c r="I79" s="3"/>
    </row>
    <row r="80" s="2" customFormat="1" ht="30" customHeight="1" spans="2:9">
      <c r="B80" s="4"/>
      <c r="C80" s="3"/>
      <c r="D80" s="5"/>
      <c r="E80" s="5"/>
      <c r="F80" s="5"/>
      <c r="G80" s="5"/>
      <c r="H80" s="3"/>
      <c r="I80" s="3"/>
    </row>
    <row r="81" s="2" customFormat="1" ht="30" customHeight="1" spans="2:9">
      <c r="B81" s="4"/>
      <c r="C81" s="3"/>
      <c r="D81" s="5"/>
      <c r="E81" s="5"/>
      <c r="F81" s="5"/>
      <c r="G81" s="5"/>
      <c r="H81" s="3"/>
      <c r="I81" s="3"/>
    </row>
    <row r="82" s="2" customFormat="1" ht="30" customHeight="1" spans="2:9">
      <c r="B82" s="4"/>
      <c r="C82" s="3"/>
      <c r="D82" s="5"/>
      <c r="E82" s="5"/>
      <c r="F82" s="5"/>
      <c r="G82" s="5"/>
      <c r="H82" s="3"/>
      <c r="I82" s="3"/>
    </row>
    <row r="83" s="2" customFormat="1" ht="30" customHeight="1" spans="2:9">
      <c r="B83" s="4"/>
      <c r="C83" s="3"/>
      <c r="D83" s="5"/>
      <c r="E83" s="5"/>
      <c r="F83" s="5"/>
      <c r="G83" s="5"/>
      <c r="H83" s="3"/>
      <c r="I83" s="3"/>
    </row>
    <row r="84" s="2" customFormat="1" ht="30" customHeight="1" spans="2:9">
      <c r="B84" s="4"/>
      <c r="C84" s="3"/>
      <c r="D84" s="5"/>
      <c r="E84" s="5"/>
      <c r="F84" s="5"/>
      <c r="G84" s="5"/>
      <c r="H84" s="3"/>
      <c r="I84" s="3"/>
    </row>
    <row r="85" s="2" customFormat="1" ht="30" customHeight="1" spans="2:9">
      <c r="B85" s="4"/>
      <c r="C85" s="3"/>
      <c r="D85" s="5"/>
      <c r="E85" s="5"/>
      <c r="F85" s="5"/>
      <c r="G85" s="5"/>
      <c r="H85" s="3"/>
      <c r="I85" s="3"/>
    </row>
    <row r="86" s="2" customFormat="1" ht="30" customHeight="1" spans="2:9">
      <c r="B86" s="4"/>
      <c r="C86" s="3"/>
      <c r="D86" s="5"/>
      <c r="E86" s="5"/>
      <c r="F86" s="5"/>
      <c r="G86" s="5"/>
      <c r="H86" s="3"/>
      <c r="I86" s="3"/>
    </row>
    <row r="87" s="2" customFormat="1" ht="30" customHeight="1" spans="2:9">
      <c r="B87" s="4"/>
      <c r="C87" s="3"/>
      <c r="D87" s="5"/>
      <c r="E87" s="5"/>
      <c r="F87" s="5"/>
      <c r="G87" s="5"/>
      <c r="H87" s="3"/>
      <c r="I87" s="3"/>
    </row>
    <row r="88" s="2" customFormat="1" ht="30" customHeight="1" spans="2:9">
      <c r="B88" s="4"/>
      <c r="C88" s="3"/>
      <c r="D88" s="5"/>
      <c r="E88" s="5"/>
      <c r="F88" s="5"/>
      <c r="G88" s="5"/>
      <c r="H88" s="3"/>
      <c r="I88" s="3"/>
    </row>
    <row r="89" s="2" customFormat="1" ht="30" customHeight="1" spans="2:9">
      <c r="B89" s="4"/>
      <c r="C89" s="3"/>
      <c r="D89" s="5"/>
      <c r="E89" s="5"/>
      <c r="F89" s="5"/>
      <c r="G89" s="5"/>
      <c r="H89" s="3"/>
      <c r="I89" s="3"/>
    </row>
    <row r="90" s="2" customFormat="1" ht="30" customHeight="1" spans="2:9">
      <c r="B90" s="4"/>
      <c r="C90" s="3"/>
      <c r="D90" s="5"/>
      <c r="E90" s="5"/>
      <c r="F90" s="5"/>
      <c r="G90" s="5"/>
      <c r="H90" s="3"/>
      <c r="I90" s="3"/>
    </row>
    <row r="91" s="2" customFormat="1" ht="31.5" customHeight="1" spans="2:9">
      <c r="B91" s="4"/>
      <c r="C91" s="3"/>
      <c r="D91" s="5"/>
      <c r="E91" s="5"/>
      <c r="F91" s="5"/>
      <c r="G91" s="5"/>
      <c r="H91" s="3"/>
      <c r="I91" s="3"/>
    </row>
    <row r="92" s="2" customFormat="1" ht="30" customHeight="1" spans="2:9">
      <c r="B92" s="4"/>
      <c r="C92" s="3"/>
      <c r="D92" s="5"/>
      <c r="E92" s="5"/>
      <c r="F92" s="5"/>
      <c r="G92" s="5"/>
      <c r="H92" s="3"/>
      <c r="I92" s="3"/>
    </row>
    <row r="93" s="2" customFormat="1" ht="30" customHeight="1" spans="1:9">
      <c r="A93" s="3"/>
      <c r="B93" s="4"/>
      <c r="C93" s="3"/>
      <c r="D93" s="5"/>
      <c r="E93" s="5"/>
      <c r="F93" s="5"/>
      <c r="G93" s="5"/>
      <c r="H93" s="3"/>
      <c r="I93" s="3"/>
    </row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autoFilter ref="A5:I102">
    <extLst/>
  </autoFilter>
  <mergeCells count="24">
    <mergeCell ref="B2:F2"/>
    <mergeCell ref="B4:F4"/>
    <mergeCell ref="J4:N4"/>
    <mergeCell ref="B5:C5"/>
    <mergeCell ref="J5:K5"/>
    <mergeCell ref="B6:C6"/>
    <mergeCell ref="J6:K6"/>
    <mergeCell ref="R7:S7"/>
    <mergeCell ref="R8:S8"/>
    <mergeCell ref="R9:S9"/>
    <mergeCell ref="R10:S10"/>
    <mergeCell ref="B11:C11"/>
    <mergeCell ref="J11:K11"/>
    <mergeCell ref="B13:C13"/>
    <mergeCell ref="J13:K13"/>
    <mergeCell ref="B15:C15"/>
    <mergeCell ref="J15:K15"/>
    <mergeCell ref="B18:C18"/>
    <mergeCell ref="J18:K18"/>
    <mergeCell ref="B20:C20"/>
    <mergeCell ref="J20:K20"/>
    <mergeCell ref="B25:C25"/>
    <mergeCell ref="J25:K25"/>
    <mergeCell ref="J33:K33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B1:R84"/>
  <sheetViews>
    <sheetView tabSelected="1" zoomScale="70" zoomScaleNormal="70" workbookViewId="0">
      <pane ySplit="4" topLeftCell="A64" activePane="bottomLeft" state="frozen"/>
      <selection/>
      <selection pane="bottomLeft" activeCell="H80" sqref="H80"/>
    </sheetView>
  </sheetViews>
  <sheetFormatPr defaultColWidth="8.88888888888889" defaultRowHeight="15.6"/>
  <cols>
    <col min="1" max="1" width="8.88888888888889" style="3"/>
    <col min="2" max="2" width="6.77777777777778" style="4" customWidth="1"/>
    <col min="3" max="3" width="48.2222222222222" style="3" customWidth="1"/>
    <col min="4" max="7" width="16.6666666666667" style="5" customWidth="1"/>
    <col min="8" max="8" width="75.6666666666667" style="3" customWidth="1"/>
    <col min="9" max="9" width="8.88888888888889" style="3"/>
    <col min="10" max="10" width="3.88888888888889" style="3" customWidth="1"/>
    <col min="11" max="11" width="43.2222222222222" style="3" customWidth="1"/>
    <col min="12" max="14" width="18.6666666666667" style="3" customWidth="1"/>
    <col min="15" max="16384" width="8.88888888888889" style="3"/>
  </cols>
  <sheetData>
    <row r="1" ht="15" customHeight="1" spans="6:7">
      <c r="F1" s="6"/>
      <c r="G1" s="6"/>
    </row>
    <row r="2" ht="15" customHeight="1" spans="2:7">
      <c r="B2" s="7"/>
      <c r="C2" s="7"/>
      <c r="D2" s="7"/>
      <c r="E2" s="7"/>
      <c r="F2" s="7"/>
      <c r="G2" s="7"/>
    </row>
    <row r="3" ht="15" customHeight="1" spans="6:7">
      <c r="F3" s="6"/>
      <c r="G3" s="6"/>
    </row>
    <row r="4" ht="30" customHeight="1" spans="2:14">
      <c r="B4" s="8" t="s">
        <v>462</v>
      </c>
      <c r="C4" s="8"/>
      <c r="D4" s="8"/>
      <c r="E4" s="8"/>
      <c r="F4" s="8"/>
      <c r="G4" s="8"/>
      <c r="H4" s="8"/>
      <c r="J4" s="8" t="s">
        <v>462</v>
      </c>
      <c r="K4" s="8"/>
      <c r="L4" s="8"/>
      <c r="M4" s="8"/>
      <c r="N4" s="8"/>
    </row>
    <row r="5" ht="30" customHeight="1" spans="2:14">
      <c r="B5" s="9" t="s">
        <v>194</v>
      </c>
      <c r="C5" s="9"/>
      <c r="D5" s="10" t="s">
        <v>195</v>
      </c>
      <c r="E5" s="11" t="s">
        <v>196</v>
      </c>
      <c r="F5" s="12" t="s">
        <v>197</v>
      </c>
      <c r="G5" s="13" t="s">
        <v>198</v>
      </c>
      <c r="H5" s="10" t="s">
        <v>199</v>
      </c>
      <c r="J5" s="9" t="s">
        <v>194</v>
      </c>
      <c r="K5" s="9"/>
      <c r="L5" s="10"/>
      <c r="M5" s="11"/>
      <c r="N5" s="10"/>
    </row>
    <row r="6" ht="30" customHeight="1" spans="2:18">
      <c r="B6" s="14" t="s">
        <v>200</v>
      </c>
      <c r="C6" s="14"/>
      <c r="D6" s="15"/>
      <c r="E6" s="16"/>
      <c r="F6" s="17"/>
      <c r="G6" s="17"/>
      <c r="H6" s="18"/>
      <c r="J6" s="14" t="s">
        <v>200</v>
      </c>
      <c r="K6" s="14"/>
      <c r="L6" s="30" t="s">
        <v>463</v>
      </c>
      <c r="M6" s="30" t="s">
        <v>277</v>
      </c>
      <c r="N6" s="30" t="s">
        <v>278</v>
      </c>
      <c r="P6" s="31" t="s">
        <v>205</v>
      </c>
      <c r="Q6" s="19" t="s">
        <v>4</v>
      </c>
      <c r="R6" s="19"/>
    </row>
    <row r="7" s="1" customFormat="1" ht="79.5" customHeight="1" spans="2:18">
      <c r="B7" s="19">
        <v>1</v>
      </c>
      <c r="C7" s="20" t="s">
        <v>40</v>
      </c>
      <c r="D7" s="19" t="s">
        <v>238</v>
      </c>
      <c r="E7" s="19">
        <v>10</v>
      </c>
      <c r="F7" s="21">
        <v>10</v>
      </c>
      <c r="G7" s="19">
        <v>10</v>
      </c>
      <c r="H7" s="22"/>
      <c r="J7" s="19">
        <v>1</v>
      </c>
      <c r="K7" s="20" t="s">
        <v>464</v>
      </c>
      <c r="L7" s="19" t="s">
        <v>209</v>
      </c>
      <c r="M7" s="19" t="s">
        <v>465</v>
      </c>
      <c r="N7" s="32" t="s">
        <v>211</v>
      </c>
      <c r="P7" s="33" t="s">
        <v>209</v>
      </c>
      <c r="Q7" s="19" t="s">
        <v>212</v>
      </c>
      <c r="R7" s="19"/>
    </row>
    <row r="8" s="2" customFormat="1" ht="79.5" customHeight="1" spans="2:18">
      <c r="B8" s="19">
        <v>2</v>
      </c>
      <c r="C8" s="20" t="s">
        <v>466</v>
      </c>
      <c r="D8" s="19" t="s">
        <v>238</v>
      </c>
      <c r="E8" s="19">
        <v>10</v>
      </c>
      <c r="F8" s="21">
        <v>10</v>
      </c>
      <c r="G8" s="19">
        <v>10</v>
      </c>
      <c r="H8" s="23"/>
      <c r="J8" s="19">
        <v>2</v>
      </c>
      <c r="K8" s="20" t="s">
        <v>466</v>
      </c>
      <c r="L8" s="19" t="s">
        <v>209</v>
      </c>
      <c r="M8" s="19" t="s">
        <v>465</v>
      </c>
      <c r="N8" s="32" t="s">
        <v>211</v>
      </c>
      <c r="P8" s="14" t="s">
        <v>210</v>
      </c>
      <c r="Q8" s="19" t="s">
        <v>215</v>
      </c>
      <c r="R8" s="19"/>
    </row>
    <row r="9" s="2" customFormat="1" ht="79.5" customHeight="1" spans="2:18">
      <c r="B9" s="19">
        <v>3</v>
      </c>
      <c r="C9" s="20" t="s">
        <v>467</v>
      </c>
      <c r="D9" s="19" t="s">
        <v>238</v>
      </c>
      <c r="E9" s="19">
        <v>10</v>
      </c>
      <c r="F9" s="21">
        <v>10</v>
      </c>
      <c r="G9" s="19">
        <v>10</v>
      </c>
      <c r="H9" s="23"/>
      <c r="J9" s="19">
        <v>3</v>
      </c>
      <c r="K9" s="20" t="s">
        <v>467</v>
      </c>
      <c r="L9" s="19" t="s">
        <v>209</v>
      </c>
      <c r="M9" s="19" t="s">
        <v>465</v>
      </c>
      <c r="N9" s="32" t="s">
        <v>211</v>
      </c>
      <c r="P9" s="10" t="s">
        <v>211</v>
      </c>
      <c r="Q9" s="19" t="s">
        <v>216</v>
      </c>
      <c r="R9" s="19"/>
    </row>
    <row r="10" s="2" customFormat="1" ht="79.5" customHeight="1" spans="2:14">
      <c r="B10" s="19">
        <v>4</v>
      </c>
      <c r="C10" s="20" t="s">
        <v>468</v>
      </c>
      <c r="D10" s="19" t="s">
        <v>238</v>
      </c>
      <c r="E10" s="19">
        <v>5</v>
      </c>
      <c r="F10" s="21">
        <v>5</v>
      </c>
      <c r="G10" s="19">
        <v>5</v>
      </c>
      <c r="H10" s="23"/>
      <c r="J10" s="19">
        <v>4</v>
      </c>
      <c r="K10" s="20" t="s">
        <v>468</v>
      </c>
      <c r="L10" s="19" t="s">
        <v>209</v>
      </c>
      <c r="M10" s="19" t="s">
        <v>465</v>
      </c>
      <c r="N10" s="32" t="s">
        <v>211</v>
      </c>
    </row>
    <row r="11" s="2" customFormat="1" ht="79.5" customHeight="1" spans="2:14">
      <c r="B11" s="19">
        <v>5</v>
      </c>
      <c r="C11" s="20" t="s">
        <v>469</v>
      </c>
      <c r="D11" s="19" t="s">
        <v>238</v>
      </c>
      <c r="E11" s="19">
        <v>5</v>
      </c>
      <c r="F11" s="21">
        <v>5</v>
      </c>
      <c r="G11" s="19">
        <v>5</v>
      </c>
      <c r="H11" s="23"/>
      <c r="J11" s="19">
        <v>5</v>
      </c>
      <c r="K11" s="20" t="s">
        <v>469</v>
      </c>
      <c r="L11" s="19" t="s">
        <v>209</v>
      </c>
      <c r="M11" s="19" t="s">
        <v>465</v>
      </c>
      <c r="N11" s="32" t="s">
        <v>211</v>
      </c>
    </row>
    <row r="12" s="2" customFormat="1" ht="79.5" customHeight="1" spans="2:14">
      <c r="B12" s="19">
        <v>6</v>
      </c>
      <c r="C12" s="20" t="s">
        <v>470</v>
      </c>
      <c r="D12" s="19" t="s">
        <v>238</v>
      </c>
      <c r="E12" s="19">
        <v>5</v>
      </c>
      <c r="F12" s="21">
        <v>5</v>
      </c>
      <c r="G12" s="19">
        <v>5</v>
      </c>
      <c r="H12" s="23"/>
      <c r="J12" s="19">
        <v>6</v>
      </c>
      <c r="K12" s="20" t="s">
        <v>470</v>
      </c>
      <c r="L12" s="19" t="s">
        <v>209</v>
      </c>
      <c r="M12" s="19" t="s">
        <v>465</v>
      </c>
      <c r="N12" s="32" t="s">
        <v>211</v>
      </c>
    </row>
    <row r="13" s="2" customFormat="1" ht="79.5" customHeight="1" spans="2:14">
      <c r="B13" s="19">
        <v>7</v>
      </c>
      <c r="C13" s="20" t="s">
        <v>471</v>
      </c>
      <c r="D13" s="19" t="s">
        <v>238</v>
      </c>
      <c r="E13" s="19">
        <v>10</v>
      </c>
      <c r="F13" s="21">
        <v>10</v>
      </c>
      <c r="G13" s="19">
        <v>10</v>
      </c>
      <c r="H13" s="23"/>
      <c r="J13" s="19">
        <v>7</v>
      </c>
      <c r="K13" s="20" t="s">
        <v>471</v>
      </c>
      <c r="L13" s="19" t="s">
        <v>209</v>
      </c>
      <c r="M13" s="19" t="s">
        <v>465</v>
      </c>
      <c r="N13" s="32" t="s">
        <v>211</v>
      </c>
    </row>
    <row r="14" s="2" customFormat="1" ht="79.5" customHeight="1" spans="2:14">
      <c r="B14" s="19">
        <v>8</v>
      </c>
      <c r="C14" s="20" t="s">
        <v>472</v>
      </c>
      <c r="D14" s="19" t="s">
        <v>238</v>
      </c>
      <c r="E14" s="19">
        <v>10</v>
      </c>
      <c r="F14" s="21">
        <v>10</v>
      </c>
      <c r="G14" s="19">
        <v>10</v>
      </c>
      <c r="H14" s="23"/>
      <c r="J14" s="19">
        <v>8</v>
      </c>
      <c r="K14" s="20" t="s">
        <v>472</v>
      </c>
      <c r="L14" s="19" t="s">
        <v>209</v>
      </c>
      <c r="M14" s="19" t="s">
        <v>465</v>
      </c>
      <c r="N14" s="32" t="s">
        <v>211</v>
      </c>
    </row>
    <row r="15" s="2" customFormat="1" ht="79.5" customHeight="1" spans="2:14">
      <c r="B15" s="19">
        <v>9</v>
      </c>
      <c r="C15" s="24" t="s">
        <v>473</v>
      </c>
      <c r="D15" s="19" t="s">
        <v>238</v>
      </c>
      <c r="E15" s="19">
        <v>5</v>
      </c>
      <c r="F15" s="21">
        <v>5</v>
      </c>
      <c r="G15" s="19">
        <v>5</v>
      </c>
      <c r="H15" s="23"/>
      <c r="J15" s="19">
        <v>9</v>
      </c>
      <c r="K15" s="24" t="s">
        <v>473</v>
      </c>
      <c r="L15" s="19" t="s">
        <v>209</v>
      </c>
      <c r="M15" s="19" t="s">
        <v>465</v>
      </c>
      <c r="N15" s="32" t="s">
        <v>211</v>
      </c>
    </row>
    <row r="16" s="2" customFormat="1" ht="79.5" customHeight="1" spans="2:14">
      <c r="B16" s="19">
        <v>10</v>
      </c>
      <c r="C16" s="20" t="s">
        <v>474</v>
      </c>
      <c r="D16" s="19" t="s">
        <v>238</v>
      </c>
      <c r="E16" s="19">
        <v>5</v>
      </c>
      <c r="F16" s="21">
        <v>5</v>
      </c>
      <c r="G16" s="19">
        <v>5</v>
      </c>
      <c r="H16" s="23"/>
      <c r="J16" s="19">
        <v>10</v>
      </c>
      <c r="K16" s="20" t="s">
        <v>474</v>
      </c>
      <c r="L16" s="19" t="s">
        <v>209</v>
      </c>
      <c r="M16" s="19" t="s">
        <v>465</v>
      </c>
      <c r="N16" s="32" t="s">
        <v>211</v>
      </c>
    </row>
    <row r="17" s="2" customFormat="1" ht="79.5" customHeight="1" spans="2:14">
      <c r="B17" s="19">
        <v>11</v>
      </c>
      <c r="C17" s="20" t="s">
        <v>475</v>
      </c>
      <c r="D17" s="19" t="s">
        <v>238</v>
      </c>
      <c r="E17" s="19">
        <v>10</v>
      </c>
      <c r="F17" s="21">
        <v>10</v>
      </c>
      <c r="G17" s="19">
        <v>10</v>
      </c>
      <c r="H17" s="23"/>
      <c r="J17" s="19">
        <v>11</v>
      </c>
      <c r="K17" s="20" t="s">
        <v>475</v>
      </c>
      <c r="L17" s="19"/>
      <c r="M17" s="19"/>
      <c r="N17" s="32"/>
    </row>
    <row r="18" s="2" customFormat="1" ht="79.5" customHeight="1" spans="2:14">
      <c r="B18" s="19">
        <v>12</v>
      </c>
      <c r="C18" s="20" t="s">
        <v>476</v>
      </c>
      <c r="D18" s="19" t="s">
        <v>238</v>
      </c>
      <c r="E18" s="19">
        <v>5</v>
      </c>
      <c r="F18" s="21">
        <v>5</v>
      </c>
      <c r="G18" s="19">
        <v>5</v>
      </c>
      <c r="H18" s="23"/>
      <c r="J18" s="19">
        <v>12</v>
      </c>
      <c r="K18" s="20" t="s">
        <v>476</v>
      </c>
      <c r="L18" s="19"/>
      <c r="M18" s="19"/>
      <c r="N18" s="32"/>
    </row>
    <row r="19" s="2" customFormat="1" ht="79.5" customHeight="1" spans="2:14">
      <c r="B19" s="19">
        <v>13</v>
      </c>
      <c r="C19" s="20" t="s">
        <v>477</v>
      </c>
      <c r="D19" s="19" t="s">
        <v>238</v>
      </c>
      <c r="E19" s="19">
        <v>5</v>
      </c>
      <c r="F19" s="21">
        <v>5</v>
      </c>
      <c r="G19" s="19">
        <v>5</v>
      </c>
      <c r="H19" s="23"/>
      <c r="J19" s="19">
        <v>13</v>
      </c>
      <c r="K19" s="20" t="s">
        <v>477</v>
      </c>
      <c r="L19" s="19"/>
      <c r="M19" s="19"/>
      <c r="N19" s="32"/>
    </row>
    <row r="20" s="2" customFormat="1" ht="79.5" customHeight="1" spans="2:14">
      <c r="B20" s="19">
        <v>14</v>
      </c>
      <c r="C20" s="20" t="s">
        <v>478</v>
      </c>
      <c r="D20" s="19" t="s">
        <v>238</v>
      </c>
      <c r="E20" s="19">
        <v>5</v>
      </c>
      <c r="F20" s="21">
        <v>0</v>
      </c>
      <c r="G20" s="19">
        <v>0</v>
      </c>
      <c r="H20" s="23"/>
      <c r="J20" s="19"/>
      <c r="K20" s="20"/>
      <c r="L20" s="19"/>
      <c r="M20" s="19"/>
      <c r="N20" s="32"/>
    </row>
    <row r="21" s="2" customFormat="1" ht="79.5" customHeight="1" spans="2:14">
      <c r="B21" s="19"/>
      <c r="C21" s="25" t="s">
        <v>270</v>
      </c>
      <c r="D21" s="19"/>
      <c r="E21" s="19">
        <f>SUM(E7:E20)</f>
        <v>100</v>
      </c>
      <c r="F21" s="21">
        <f>SUM(F7:F20)</f>
        <v>95</v>
      </c>
      <c r="G21" s="19">
        <f>SUM(G7:G20)</f>
        <v>95</v>
      </c>
      <c r="H21" s="23"/>
      <c r="J21" s="19"/>
      <c r="K21" s="25" t="s">
        <v>270</v>
      </c>
      <c r="L21" s="19"/>
      <c r="M21" s="19"/>
      <c r="N21" s="23"/>
    </row>
    <row r="22" s="2" customFormat="1" ht="79.5" customHeight="1" spans="2:14">
      <c r="B22" s="19"/>
      <c r="C22" s="25" t="s">
        <v>271</v>
      </c>
      <c r="D22" s="19"/>
      <c r="E22" s="19">
        <f>(E21/E21)*100</f>
        <v>100</v>
      </c>
      <c r="F22" s="26">
        <f>+F21/E21*100</f>
        <v>95</v>
      </c>
      <c r="G22" s="27">
        <f>+G21/E21*100</f>
        <v>95</v>
      </c>
      <c r="H22" s="23"/>
      <c r="J22" s="19"/>
      <c r="K22" s="25" t="s">
        <v>271</v>
      </c>
      <c r="L22" s="19"/>
      <c r="M22" s="27"/>
      <c r="N22" s="23"/>
    </row>
    <row r="23" s="2" customFormat="1" ht="42" customHeight="1" spans="2:7">
      <c r="B23" s="4"/>
      <c r="C23" s="3"/>
      <c r="D23" s="5"/>
      <c r="E23" s="5"/>
      <c r="F23" s="5"/>
      <c r="G23" s="5"/>
    </row>
    <row r="24" s="2" customFormat="1" ht="42" customHeight="1" spans="2:7">
      <c r="B24" s="4"/>
      <c r="C24" s="3"/>
      <c r="D24" s="5"/>
      <c r="E24" s="5"/>
      <c r="F24" s="5"/>
      <c r="G24" s="5"/>
    </row>
    <row r="25" s="2" customFormat="1" ht="39.75" customHeight="1" spans="2:7">
      <c r="B25" s="4"/>
      <c r="C25" s="3"/>
      <c r="D25" s="5"/>
      <c r="E25" s="5"/>
      <c r="F25" s="5"/>
      <c r="G25" s="5"/>
    </row>
    <row r="26" s="2" customFormat="1" ht="33" customHeight="1" spans="2:7">
      <c r="B26" s="4"/>
      <c r="C26" s="3"/>
      <c r="D26" s="5"/>
      <c r="E26" s="5"/>
      <c r="F26" s="5"/>
      <c r="G26" s="5"/>
    </row>
    <row r="27" s="2" customFormat="1" ht="51" customHeight="1" spans="2:7">
      <c r="B27" s="4"/>
      <c r="C27" s="3"/>
      <c r="D27" s="5"/>
      <c r="E27" s="5"/>
      <c r="F27" s="5"/>
      <c r="G27" s="5"/>
    </row>
    <row r="28" s="2" customFormat="1" ht="40.5" customHeight="1" spans="2:7">
      <c r="B28" s="4"/>
      <c r="C28" s="3"/>
      <c r="D28" s="5"/>
      <c r="E28" s="5"/>
      <c r="F28" s="5"/>
      <c r="G28" s="5"/>
    </row>
    <row r="29" s="2" customFormat="1" ht="34.5" customHeight="1" spans="2:7">
      <c r="B29" s="4"/>
      <c r="C29" s="3"/>
      <c r="D29" s="5"/>
      <c r="E29" s="5"/>
      <c r="F29" s="5"/>
      <c r="G29" s="5"/>
    </row>
    <row r="30" s="2" customFormat="1" ht="34.5" customHeight="1" spans="2:7">
      <c r="B30" s="4"/>
      <c r="C30" s="3"/>
      <c r="D30" s="5"/>
      <c r="E30" s="5"/>
      <c r="F30" s="5"/>
      <c r="G30" s="5"/>
    </row>
    <row r="31" s="2" customFormat="1" ht="34.5" customHeight="1" spans="2:7">
      <c r="B31" s="4"/>
      <c r="C31" s="24"/>
      <c r="D31" s="5"/>
      <c r="E31" s="5"/>
      <c r="F31" s="5"/>
      <c r="G31" s="5"/>
    </row>
    <row r="32" s="2" customFormat="1" ht="31.5" customHeight="1" spans="2:7">
      <c r="B32" s="4"/>
      <c r="C32" s="3"/>
      <c r="D32" s="5"/>
      <c r="E32" s="5"/>
      <c r="F32" s="5"/>
      <c r="G32" s="5"/>
    </row>
    <row r="33" s="2" customFormat="1" ht="34.5" customHeight="1" spans="2:7">
      <c r="B33" s="4"/>
      <c r="C33" s="28"/>
      <c r="D33" s="5"/>
      <c r="E33" s="5"/>
      <c r="F33" s="5"/>
      <c r="G33" s="5"/>
    </row>
    <row r="34" s="2" customFormat="1" ht="42" customHeight="1" spans="2:7">
      <c r="B34" s="4"/>
      <c r="C34" s="29"/>
      <c r="D34" s="5"/>
      <c r="E34" s="5"/>
      <c r="F34" s="5"/>
      <c r="G34" s="5"/>
    </row>
    <row r="35" s="2" customFormat="1" ht="42" customHeight="1" spans="2:7">
      <c r="B35" s="4"/>
      <c r="C35" s="29"/>
      <c r="D35" s="5"/>
      <c r="E35" s="5"/>
      <c r="F35" s="5"/>
      <c r="G35" s="5"/>
    </row>
    <row r="36" s="2" customFormat="1" ht="42" customHeight="1" spans="2:7">
      <c r="B36" s="4"/>
      <c r="C36" s="29"/>
      <c r="D36" s="5"/>
      <c r="E36" s="5"/>
      <c r="F36" s="5"/>
      <c r="G36" s="5"/>
    </row>
    <row r="37" s="2" customFormat="1" ht="61.5" customHeight="1" spans="2:7">
      <c r="B37" s="4"/>
      <c r="C37" s="29"/>
      <c r="D37" s="5"/>
      <c r="E37" s="5"/>
      <c r="F37" s="5"/>
      <c r="G37" s="5"/>
    </row>
    <row r="38" s="2" customFormat="1" ht="42" customHeight="1" spans="2:7">
      <c r="B38" s="4"/>
      <c r="C38" s="3"/>
      <c r="D38" s="5"/>
      <c r="E38" s="5"/>
      <c r="F38" s="5"/>
      <c r="G38" s="5"/>
    </row>
    <row r="39" s="2" customFormat="1" ht="45" customHeight="1" spans="2:7">
      <c r="B39" s="4"/>
      <c r="C39" s="3"/>
      <c r="D39" s="5"/>
      <c r="E39" s="5"/>
      <c r="F39" s="5"/>
      <c r="G39" s="5"/>
    </row>
    <row r="40" s="2" customFormat="1" ht="37.5" customHeight="1" spans="2:7">
      <c r="B40" s="4"/>
      <c r="C40" s="3"/>
      <c r="D40" s="5"/>
      <c r="E40" s="5"/>
      <c r="F40" s="5"/>
      <c r="G40" s="5"/>
    </row>
    <row r="41" s="2" customFormat="1" ht="30" customHeight="1" spans="2:7">
      <c r="B41" s="4"/>
      <c r="C41" s="3"/>
      <c r="D41" s="5"/>
      <c r="E41" s="5"/>
      <c r="F41" s="5"/>
      <c r="G41" s="5"/>
    </row>
    <row r="42" s="2" customFormat="1" ht="39.75" customHeight="1" spans="2:7">
      <c r="B42" s="4"/>
      <c r="C42" s="3"/>
      <c r="D42" s="5"/>
      <c r="E42" s="5"/>
      <c r="F42" s="5"/>
      <c r="G42" s="5"/>
    </row>
    <row r="43" s="2" customFormat="1" ht="30" customHeight="1" spans="2:7">
      <c r="B43" s="4"/>
      <c r="C43" s="3"/>
      <c r="D43" s="5"/>
      <c r="E43" s="5"/>
      <c r="F43" s="5"/>
      <c r="G43" s="5"/>
    </row>
    <row r="44" s="2" customFormat="1" ht="30" customHeight="1" spans="2:7">
      <c r="B44" s="4"/>
      <c r="C44" s="3"/>
      <c r="D44" s="5"/>
      <c r="E44" s="5"/>
      <c r="F44" s="5"/>
      <c r="G44" s="5"/>
    </row>
    <row r="45" s="2" customFormat="1" ht="30" customHeight="1" spans="2:7">
      <c r="B45" s="4"/>
      <c r="C45" s="3"/>
      <c r="D45" s="5"/>
      <c r="E45" s="5"/>
      <c r="F45" s="5"/>
      <c r="G45" s="5"/>
    </row>
    <row r="46" s="2" customFormat="1" ht="30" customHeight="1" spans="2:7">
      <c r="B46" s="4"/>
      <c r="C46" s="3"/>
      <c r="D46" s="5"/>
      <c r="E46" s="5"/>
      <c r="F46" s="5"/>
      <c r="G46" s="5"/>
    </row>
    <row r="47" s="2" customFormat="1" ht="30" customHeight="1" spans="2:7">
      <c r="B47" s="4"/>
      <c r="C47" s="3"/>
      <c r="D47" s="5"/>
      <c r="E47" s="5"/>
      <c r="F47" s="5"/>
      <c r="G47" s="5"/>
    </row>
    <row r="48" s="2" customFormat="1" ht="30" customHeight="1" spans="2:7">
      <c r="B48" s="4"/>
      <c r="C48" s="3"/>
      <c r="D48" s="5"/>
      <c r="E48" s="5"/>
      <c r="F48" s="5"/>
      <c r="G48" s="5"/>
    </row>
    <row r="49" s="2" customFormat="1" ht="30" customHeight="1" spans="2:7">
      <c r="B49" s="4"/>
      <c r="D49" s="4"/>
      <c r="E49" s="4"/>
      <c r="F49" s="4"/>
      <c r="G49" s="4"/>
    </row>
    <row r="50" s="2" customFormat="1" ht="39.75" customHeight="1" spans="2:7">
      <c r="B50" s="4"/>
      <c r="D50" s="4"/>
      <c r="E50" s="4"/>
      <c r="F50" s="4"/>
      <c r="G50" s="4"/>
    </row>
    <row r="51" s="2" customFormat="1" ht="39.75" customHeight="1" spans="2:7">
      <c r="B51" s="4"/>
      <c r="C51" s="3"/>
      <c r="D51" s="5"/>
      <c r="E51" s="5"/>
      <c r="F51" s="5"/>
      <c r="G51" s="5"/>
    </row>
    <row r="52" s="2" customFormat="1" ht="39.75" customHeight="1" spans="2:7">
      <c r="B52" s="4"/>
      <c r="C52" s="3"/>
      <c r="D52" s="5"/>
      <c r="E52" s="5"/>
      <c r="F52" s="5"/>
      <c r="G52" s="5"/>
    </row>
    <row r="53" s="2" customFormat="1" ht="39.75" customHeight="1" spans="2:7">
      <c r="B53" s="4"/>
      <c r="C53" s="3"/>
      <c r="D53" s="5"/>
      <c r="E53" s="5"/>
      <c r="F53" s="5"/>
      <c r="G53" s="5"/>
    </row>
    <row r="54" s="2" customFormat="1" ht="33.75" customHeight="1" spans="2:7">
      <c r="B54" s="4"/>
      <c r="C54" s="3"/>
      <c r="D54" s="5"/>
      <c r="E54" s="5"/>
      <c r="F54" s="5"/>
      <c r="G54" s="5"/>
    </row>
    <row r="55" s="2" customFormat="1" ht="30" customHeight="1" spans="2:7">
      <c r="B55" s="4"/>
      <c r="C55" s="3"/>
      <c r="D55" s="5"/>
      <c r="E55" s="5"/>
      <c r="F55" s="5"/>
      <c r="G55" s="5"/>
    </row>
    <row r="56" s="2" customFormat="1" ht="30" customHeight="1" spans="2:7">
      <c r="B56" s="4"/>
      <c r="C56" s="3"/>
      <c r="D56" s="5"/>
      <c r="E56" s="5"/>
      <c r="F56" s="5"/>
      <c r="G56" s="5"/>
    </row>
    <row r="57" s="2" customFormat="1" ht="30" customHeight="1" spans="2:7">
      <c r="B57" s="4"/>
      <c r="C57" s="3"/>
      <c r="D57" s="5"/>
      <c r="E57" s="5"/>
      <c r="F57" s="5"/>
      <c r="G57" s="5"/>
    </row>
    <row r="58" s="2" customFormat="1" ht="30" customHeight="1" spans="2:7">
      <c r="B58" s="4"/>
      <c r="C58" s="3"/>
      <c r="D58" s="5"/>
      <c r="E58" s="5"/>
      <c r="F58" s="5"/>
      <c r="G58" s="5"/>
    </row>
    <row r="59" s="2" customFormat="1" ht="30" customHeight="1" spans="2:7">
      <c r="B59" s="4"/>
      <c r="C59" s="3"/>
      <c r="D59" s="5"/>
      <c r="E59" s="5"/>
      <c r="F59" s="5"/>
      <c r="G59" s="5"/>
    </row>
    <row r="60" s="2" customFormat="1" ht="30" customHeight="1" spans="2:7">
      <c r="B60" s="4"/>
      <c r="C60" s="3"/>
      <c r="D60" s="5"/>
      <c r="E60" s="5"/>
      <c r="F60" s="5"/>
      <c r="G60" s="5"/>
    </row>
    <row r="61" s="2" customFormat="1" ht="30" customHeight="1" spans="2:7">
      <c r="B61" s="4"/>
      <c r="C61" s="3"/>
      <c r="D61" s="5"/>
      <c r="E61" s="5"/>
      <c r="F61" s="5"/>
      <c r="G61" s="5"/>
    </row>
    <row r="62" s="2" customFormat="1" ht="30" customHeight="1" spans="2:7">
      <c r="B62" s="4"/>
      <c r="C62" s="3"/>
      <c r="D62" s="5"/>
      <c r="E62" s="5"/>
      <c r="F62" s="5"/>
      <c r="G62" s="5"/>
    </row>
    <row r="63" s="2" customFormat="1" ht="30" customHeight="1" spans="2:7">
      <c r="B63" s="4"/>
      <c r="C63" s="3"/>
      <c r="D63" s="5"/>
      <c r="E63" s="5"/>
      <c r="F63" s="5"/>
      <c r="G63" s="5"/>
    </row>
    <row r="64" s="2" customFormat="1" ht="30" customHeight="1" spans="2:7">
      <c r="B64" s="4"/>
      <c r="C64" s="3"/>
      <c r="D64" s="5"/>
      <c r="E64" s="5"/>
      <c r="F64" s="5"/>
      <c r="G64" s="5"/>
    </row>
    <row r="65" s="2" customFormat="1" ht="30" customHeight="1" spans="2:7">
      <c r="B65" s="4"/>
      <c r="C65" s="3"/>
      <c r="D65" s="5"/>
      <c r="E65" s="5"/>
      <c r="F65" s="5"/>
      <c r="G65" s="5"/>
    </row>
    <row r="66" s="2" customFormat="1" ht="30" customHeight="1" spans="2:7">
      <c r="B66" s="4"/>
      <c r="C66" s="3"/>
      <c r="D66" s="5"/>
      <c r="E66" s="5"/>
      <c r="F66" s="5"/>
      <c r="G66" s="5"/>
    </row>
    <row r="67" s="2" customFormat="1" ht="30" customHeight="1" spans="2:7">
      <c r="B67" s="4"/>
      <c r="C67" s="3"/>
      <c r="D67" s="5"/>
      <c r="E67" s="5"/>
      <c r="F67" s="5"/>
      <c r="G67" s="5"/>
    </row>
    <row r="68" s="2" customFormat="1" ht="30" customHeight="1" spans="2:7">
      <c r="B68" s="4"/>
      <c r="C68" s="3"/>
      <c r="D68" s="5"/>
      <c r="E68" s="5"/>
      <c r="F68" s="5"/>
      <c r="G68" s="5"/>
    </row>
    <row r="69" s="2" customFormat="1" ht="30" customHeight="1" spans="2:7">
      <c r="B69" s="4"/>
      <c r="C69" s="3"/>
      <c r="D69" s="5"/>
      <c r="E69" s="5"/>
      <c r="F69" s="5"/>
      <c r="G69" s="5"/>
    </row>
    <row r="70" s="2" customFormat="1" ht="30" customHeight="1" spans="2:7">
      <c r="B70" s="4"/>
      <c r="C70" s="3"/>
      <c r="D70" s="5"/>
      <c r="E70" s="5"/>
      <c r="F70" s="5"/>
      <c r="G70" s="5"/>
    </row>
    <row r="71" s="2" customFormat="1" ht="30" customHeight="1" spans="2:7">
      <c r="B71" s="4"/>
      <c r="C71" s="3"/>
      <c r="D71" s="5"/>
      <c r="E71" s="5"/>
      <c r="F71" s="5"/>
      <c r="G71" s="5"/>
    </row>
    <row r="72" s="2" customFormat="1" ht="30" customHeight="1" spans="2:7">
      <c r="B72" s="4"/>
      <c r="C72" s="3"/>
      <c r="D72" s="5"/>
      <c r="E72" s="5"/>
      <c r="F72" s="5"/>
      <c r="G72" s="5"/>
    </row>
    <row r="73" s="2" customFormat="1" ht="30" customHeight="1" spans="2:7">
      <c r="B73" s="4"/>
      <c r="C73" s="3"/>
      <c r="D73" s="5"/>
      <c r="E73" s="5"/>
      <c r="F73" s="5"/>
      <c r="G73" s="5"/>
    </row>
    <row r="74" s="2" customFormat="1" ht="31.5" customHeight="1" spans="2:7">
      <c r="B74" s="4"/>
      <c r="C74" s="3"/>
      <c r="D74" s="5"/>
      <c r="E74" s="5"/>
      <c r="F74" s="5"/>
      <c r="G74" s="5"/>
    </row>
    <row r="75" s="2" customFormat="1" ht="30" customHeight="1" spans="2:7">
      <c r="B75" s="4"/>
      <c r="C75" s="3"/>
      <c r="D75" s="5"/>
      <c r="E75" s="5"/>
      <c r="F75" s="5"/>
      <c r="G75" s="5"/>
    </row>
    <row r="76" s="2" customFormat="1" ht="30" customHeight="1" spans="2:7">
      <c r="B76" s="4"/>
      <c r="C76" s="3"/>
      <c r="D76" s="5"/>
      <c r="E76" s="5"/>
      <c r="F76" s="5"/>
      <c r="G76" s="5"/>
    </row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</sheetData>
  <autoFilter ref="A5:F84">
    <extLst/>
  </autoFilter>
  <mergeCells count="11">
    <mergeCell ref="B2:F2"/>
    <mergeCell ref="B4:H4"/>
    <mergeCell ref="J4:N4"/>
    <mergeCell ref="B5:C5"/>
    <mergeCell ref="J5:K5"/>
    <mergeCell ref="B6:C6"/>
    <mergeCell ref="J6:K6"/>
    <mergeCell ref="Q6:R6"/>
    <mergeCell ref="Q7:R7"/>
    <mergeCell ref="Q8:R8"/>
    <mergeCell ref="Q9:R9"/>
  </mergeCells>
  <pageMargins left="0.75" right="0.75" top="0.118055555555556" bottom="0.0388888888888889" header="0.511811023622047" footer="0.511811023622047"/>
  <pageSetup paperSize="9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Dashboard</vt:lpstr>
      <vt:lpstr>Rating System</vt:lpstr>
      <vt:lpstr>General Maintenance</vt:lpstr>
      <vt:lpstr>Admin</vt:lpstr>
      <vt:lpstr>RM Stores</vt:lpstr>
      <vt:lpstr>FG</vt:lpstr>
      <vt:lpstr>Accessories</vt:lpstr>
      <vt:lpstr>Cutting</vt:lpstr>
      <vt:lpstr>Ground floor modules &amp; Molding</vt:lpstr>
      <vt:lpstr>Packing </vt:lpstr>
      <vt:lpstr>Audit room &amp; Final Inspection</vt:lpstr>
      <vt:lpstr>Lab &amp; CPI</vt:lpstr>
      <vt:lpstr>Screen Printing &amp; Modules</vt:lpstr>
      <vt:lpstr>Sample Room</vt:lpstr>
      <vt:lpstr>Coating</vt:lpstr>
      <vt:lpstr>Forte </vt:lpstr>
      <vt:lpstr>IE</vt:lpstr>
      <vt:lpstr>Training School</vt:lpstr>
      <vt:lpstr>Medical Centre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PrasadiG</dc:creator>
  <cp:lastModifiedBy>ComplianceI</cp:lastModifiedBy>
  <cp:revision>0</cp:revision>
  <dcterms:created xsi:type="dcterms:W3CDTF">2024-07-08T05:14:00Z</dcterms:created>
  <dcterms:modified xsi:type="dcterms:W3CDTF">2026-10-21T10:06:52Z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93B7ED4CC9C7477AB4133DAD083F9C4A_13</vt:lpwstr>
  </property>
  <property fmtid="{D5CDD505-2E9C-101B-9397-08002B2CF9AE}" pid="4" name="KSOProductBuildVer">
    <vt:lpwstr>1033-11.2.0.9629</vt:lpwstr>
  </property>
</Properties>
</file>